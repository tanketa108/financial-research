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ipotesis" sheetId="2" state="visible" r:id="rId4"/>
    <sheet name="Historico" sheetId="3" state="visible" r:id="rId5"/>
    <sheet name="Modelo" sheetId="4" state="visible" r:id="rId6"/>
    <sheet name="DuPont_WC" sheetId="5" state="visible" r:id="rId7"/>
    <sheet name="Reverse_DCF" sheetId="6" state="visible" r:id="rId8"/>
    <sheet name="Conclusiones" sheetId="7" state="visible" r:id="rId9"/>
    <sheet name="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Robinhood/Google Finance, 15-may-2026, intraday ~$405-410</t>
        </r>
      </text>
    </comment>
    <comment ref="C7" authorId="0">
      <text>
        <r>
          <rPr>
            <sz val="10"/>
            <rFont val="Arial"/>
            <family val="2"/>
          </rPr>
          <t xml:space="preserve">Source: MSFT 10-Q Q3 FY2026, diluted weighted-avg shares (Note 2 EPS)</t>
        </r>
      </text>
    </comment>
    <comment ref="C8" authorId="0">
      <text>
        <r>
          <rPr>
            <sz val="10"/>
            <rFont val="Arial"/>
            <family val="2"/>
          </rPr>
          <t xml:space="preserve">Source: MSFT 10-Q Q3 FY26 cover, shares outstanding as of 23-abr-2026</t>
        </r>
      </text>
    </comment>
    <comment ref="C9" authorId="0">
      <text>
        <r>
          <rPr>
            <sz val="10"/>
            <rFont val="Arial"/>
            <family val="2"/>
          </rPr>
          <t xml:space="preserve">Source: FRED DGS10, 15-may-2026; máximo 1-año por tensiones Iran/inflación</t>
        </r>
      </text>
    </comment>
    <comment ref="C10" authorId="0">
      <text>
        <r>
          <rPr>
            <sz val="10"/>
            <rFont val="Arial"/>
            <family val="2"/>
          </rPr>
          <t xml:space="preserve">Source: Damodaran ERP 2026 Edition, ene-2026, implied ERP S&amp;P500</t>
        </r>
      </text>
    </comment>
    <comment ref="C11" authorId="0">
      <text>
        <r>
          <rPr>
            <sz val="10"/>
            <rFont val="Arial"/>
            <family val="2"/>
          </rPr>
          <t xml:space="preserve">Source: Google Finance / Yahoo Finance, 15-may-2026</t>
        </r>
      </text>
    </comment>
    <comment ref="C12" authorId="0">
      <text>
        <r>
          <rPr>
            <sz val="10"/>
            <rFont val="Arial"/>
            <family val="2"/>
          </rPr>
          <t xml:space="preserve">Source: 10-Q AAA rating + ~25bp spread over 10Y UST</t>
        </r>
      </text>
    </comment>
    <comment ref="C13" authorId="0">
      <text>
        <r>
          <rPr>
            <sz val="10"/>
            <rFont val="Arial"/>
            <family val="2"/>
          </rPr>
          <t xml:space="preserve">Source: MSFT 10-K FY2025 Note 12, effective rate FY24=FY25=18%</t>
        </r>
      </text>
    </comment>
    <comment ref="C14" authorId="0">
      <text>
        <r>
          <rPr>
            <sz val="10"/>
            <rFont val="Arial"/>
            <family val="2"/>
          </rPr>
          <t xml:space="preserve">Source: MSFT 10-Q Q3 FY26 BS, current LTD $8,839 + LTD $31,423 = $40,262M</t>
        </r>
      </text>
    </comment>
    <comment ref="C15" authorId="0">
      <text>
        <r>
          <rPr>
            <sz val="10"/>
            <rFont val="Arial"/>
            <family val="2"/>
          </rPr>
          <t xml:space="preserve">Source: MSFT 10-Q Q3 FY26 BS, Cash $32,105 + ST inv $46,167 = $78,272M</t>
        </r>
      </text>
    </comment>
    <comment ref="C16" authorId="0">
      <text>
        <r>
          <rPr>
            <sz val="10"/>
            <rFont val="Arial"/>
            <family val="2"/>
          </rPr>
          <t xml:space="preserve">Source: MSFT 10-Q Q3 FY26 BS; incluye OpenAI ~27% equity stake</t>
        </r>
      </text>
    </comment>
  </commentList>
</comments>
</file>

<file path=xl/sharedStrings.xml><?xml version="1.0" encoding="utf-8"?>
<sst xmlns="http://schemas.openxmlformats.org/spreadsheetml/2006/main" count="907" uniqueCount="754">
  <si>
    <t xml:space="preserve">MICROSOFT CORPORATION  ·  MSFT  ·  Valuation Snapshot</t>
  </si>
  <si>
    <t xml:space="preserve">Modelo valoración integral · Fecha valoración: 15-may-2026 · Cierre FY junio</t>
  </si>
  <si>
    <t xml:space="preserve">  1. COMPANY SNAPSHOT  /  MARKET DATA (15-may-2026)</t>
  </si>
  <si>
    <t xml:space="preserve">CEO</t>
  </si>
  <si>
    <t xml:space="preserve">Satya Nadella</t>
  </si>
  <si>
    <t xml:space="preserve">Spot ($)</t>
  </si>
  <si>
    <t xml:space="preserve">CFO</t>
  </si>
  <si>
    <t xml:space="preserve">Amy Hood</t>
  </si>
  <si>
    <t xml:space="preserve">Market Cap ($B)</t>
  </si>
  <si>
    <t xml:space="preserve">Headquarters</t>
  </si>
  <si>
    <t xml:space="preserve">Redmond, WA, USA</t>
  </si>
  <si>
    <t xml:space="preserve">Enterprise Value ($B)</t>
  </si>
  <si>
    <t xml:space="preserve">Fundada</t>
  </si>
  <si>
    <t xml:space="preserve">1975</t>
  </si>
  <si>
    <t xml:space="preserve">Shares Outstanding (M)</t>
  </si>
  <si>
    <t xml:space="preserve">Empleados (FY25)</t>
  </si>
  <si>
    <t xml:space="preserve">~228,000</t>
  </si>
  <si>
    <t xml:space="preserve">52-week range</t>
  </si>
  <si>
    <t xml:space="preserve">$356.28 – $555.45</t>
  </si>
  <si>
    <t xml:space="preserve">Año fiscal</t>
  </si>
  <si>
    <t xml:space="preserve">Cierre 30-jun</t>
  </si>
  <si>
    <t xml:space="preserve">All-time high (close)</t>
  </si>
  <si>
    <t xml:space="preserve">$539.83 (28-oct-2025)</t>
  </si>
  <si>
    <t xml:space="preserve">Sector</t>
  </si>
  <si>
    <t xml:space="preserve">Software / Cloud / IA</t>
  </si>
  <si>
    <t xml:space="preserve">P/E TTM</t>
  </si>
  <si>
    <t xml:space="preserve">25.3x</t>
  </si>
  <si>
    <t xml:space="preserve">Segmentos reportados</t>
  </si>
  <si>
    <t xml:space="preserve">3 (PBP, IC, MPC)</t>
  </si>
  <si>
    <t xml:space="preserve">EPS TTM</t>
  </si>
  <si>
    <t xml:space="preserve">$16.79</t>
  </si>
  <si>
    <t xml:space="preserve">Ticker / Exchange</t>
  </si>
  <si>
    <t xml:space="preserve">MSFT / NASDAQ-GS</t>
  </si>
  <si>
    <t xml:space="preserve">Beta (5Y)</t>
  </si>
  <si>
    <t xml:space="preserve">Index</t>
  </si>
  <si>
    <t xml:space="preserve">S&amp;P 500, NASDAQ-100</t>
  </si>
  <si>
    <t xml:space="preserve">Dividend Yield</t>
  </si>
  <si>
    <t xml:space="preserve">~0.82%  ($3.32/sh annualized)</t>
  </si>
  <si>
    <t xml:space="preserve">  2. Q3 FY2026 EARNINGS HIGHLIGHTS  (trimestre cerrado 31-mar-2026)</t>
  </si>
  <si>
    <t xml:space="preserve">Revenue Q3</t>
  </si>
  <si>
    <t xml:space="preserve">$82,886M</t>
  </si>
  <si>
    <t xml:space="preserve">+15.5% YoY</t>
  </si>
  <si>
    <t xml:space="preserve">Operating Income Q3</t>
  </si>
  <si>
    <t xml:space="preserve">$38,398M</t>
  </si>
  <si>
    <t xml:space="preserve">Margin 46.3%</t>
  </si>
  <si>
    <t xml:space="preserve">Net Income Q3</t>
  </si>
  <si>
    <t xml:space="preserve">$31,778M</t>
  </si>
  <si>
    <t xml:space="preserve">Diluted EPS $4.27</t>
  </si>
  <si>
    <t xml:space="preserve">Azure &amp; other cloud growth</t>
  </si>
  <si>
    <t xml:space="preserve">+40% cc</t>
  </si>
  <si>
    <t xml:space="preserve">Supply-constrained still</t>
  </si>
  <si>
    <t xml:space="preserve">Microsoft Cloud Q3 revenue</t>
  </si>
  <si>
    <t xml:space="preserve">$45.5B (+22%)</t>
  </si>
  <si>
    <t xml:space="preserve">MS Cloud GM 69%</t>
  </si>
  <si>
    <t xml:space="preserve">M365 Commercial Cloud</t>
  </si>
  <si>
    <t xml:space="preserve">+19% growth</t>
  </si>
  <si>
    <t xml:space="preserve">Copilot driving ARPU</t>
  </si>
  <si>
    <t xml:space="preserve">LinkedIn</t>
  </si>
  <si>
    <t xml:space="preserve">+12% growth</t>
  </si>
  <si>
    <t xml:space="preserve">Dynamics 365</t>
  </si>
  <si>
    <t xml:space="preserve">+22% growth</t>
  </si>
  <si>
    <t xml:space="preserve">Commercial RPO</t>
  </si>
  <si>
    <t xml:space="preserve">$627B (+99% YoY)</t>
  </si>
  <si>
    <t xml:space="preserve">Backlog extraordinario</t>
  </si>
  <si>
    <t xml:space="preserve">AI ARR (annualized)</t>
  </si>
  <si>
    <t xml:space="preserve">$37B (+123%)</t>
  </si>
  <si>
    <t xml:space="preserve">&gt;20M Copilot seats</t>
  </si>
  <si>
    <t xml:space="preserve">Capex Q3</t>
  </si>
  <si>
    <t xml:space="preserve">$27.0B</t>
  </si>
  <si>
    <t xml:space="preserve">9M total $80.1B</t>
  </si>
  <si>
    <t xml:space="preserve">FCF Q3</t>
  </si>
  <si>
    <t xml:space="preserve">$17.6B</t>
  </si>
  <si>
    <t xml:space="preserve">9M FCF $47.3B</t>
  </si>
  <si>
    <t xml:space="preserve">Buyback Q3</t>
  </si>
  <si>
    <t xml:space="preserve">$5.6B</t>
  </si>
  <si>
    <t xml:space="preserve">Dividends Q3</t>
  </si>
  <si>
    <t xml:space="preserve">$6.2B</t>
  </si>
  <si>
    <t xml:space="preserve">  3. 5-YEAR HISTORICAL FINANCIALS  (FY21-FY25, $mm except per-share / ratios)</t>
  </si>
  <si>
    <t xml:space="preserve">Metric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</si>
  <si>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</si>
  <si>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</si>
  <si>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</si>
  <si>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</si>
  <si>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</si>
  <si>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($mm)</t>
  </si>
  <si>
    <t xml:space="preserve">YoY growth</t>
  </si>
  <si>
    <t xml:space="preserve">+18.0%</t>
  </si>
  <si>
    <t xml:space="preserve">+6.9%</t>
  </si>
  <si>
    <t xml:space="preserve">+15.7%</t>
  </si>
  <si>
    <t xml:space="preserve">+14.9%</t>
  </si>
  <si>
    <t xml:space="preserve">Operating Income</t>
  </si>
  <si>
    <t xml:space="preserve">Operating margin</t>
  </si>
  <si>
    <t xml:space="preserve">41.6%</t>
  </si>
  <si>
    <t xml:space="preserve">42.1%</t>
  </si>
  <si>
    <t xml:space="preserve">41.8%</t>
  </si>
  <si>
    <t xml:space="preserve">44.6%</t>
  </si>
  <si>
    <t xml:space="preserve">45.6%</t>
  </si>
  <si>
    <t xml:space="preserve">Net Income</t>
  </si>
  <si>
    <t xml:space="preserve">Diluted EPS</t>
  </si>
  <si>
    <t xml:space="preserve">OCF</t>
  </si>
  <si>
    <t xml:space="preserve">Capex</t>
  </si>
  <si>
    <t xml:space="preserve">Free Cash Flow</t>
  </si>
  <si>
    <t xml:space="preserve">Buybacks</t>
  </si>
  <si>
    <t xml:space="preserve">Dividends</t>
  </si>
  <si>
    <t xml:space="preserve">  4. VALUATION RESULTS — 8 metodologías (live link to Modelo)</t>
  </si>
  <si>
    <t xml:space="preserve">Method</t>
  </si>
  <si>
    <t xml:space="preserve">Implied Price</t>
  </si>
  <si>
    <t xml:space="preserve">vs Spot $408</t>
  </si>
  <si>
    <t xml:space="preserve">1. DCF Gordon Growth</t>
  </si>
  <si>
    <t xml:space="preserve">2. DCF H-Model (fade)</t>
  </si>
  <si>
    <t xml:space="preserve">3. DCF Exit EV/EBITDA</t>
  </si>
  <si>
    <t xml:space="preserve">4. DCF Exit EV/EBIT</t>
  </si>
  <si>
    <t xml:space="preserve">5. DCF Exit EV/Revenue</t>
  </si>
  <si>
    <t xml:space="preserve">6. NTM P/E × FY27E EPS</t>
  </si>
  <si>
    <t xml:space="preserve">7. NTM EV/EBITDA × FY27E EBITDA</t>
  </si>
  <si>
    <t xml:space="preserve">8. NTM EV/Revenue × FY27E Revenue</t>
  </si>
  <si>
    <t xml:space="preserve">MEDIANA (target price central)</t>
  </si>
  <si>
    <t xml:space="preserve">Promedio (8 métodos)</t>
  </si>
  <si>
    <t xml:space="preserve">Rango Min – Max</t>
  </si>
  <si>
    <t xml:space="preserve">  5. INVESTMENT THESIS  (resumen ejecutivo)</t>
  </si>
  <si>
    <t xml:space="preserve">Target price (mediana, sin descuento)</t>
  </si>
  <si>
    <t xml:space="preserve">vs spot:</t>
  </si>
  <si>
    <t xml:space="preserve">▸ Microsoft cotiza a ~25× P/E TTM, en línea con la última década pero por debajo del peer set tech ($GOOGL 30×, $AMZN 31×). El mercado descuenta una normalización de capex AI que aún no ha ocurrido.</t>
  </si>
  <si>
    <t xml:space="preserve">▸ Azure +40% Q3 FY26 sigue capacity-constrained. El backlog comercial de $627B (~1.9× revenue) es histórico y reduce drásticamente el riesgo de proyección.</t>
  </si>
  <si>
    <t xml:space="preserve">▸ La preocupación clave es el ciclo de capex AI: $80B en 9M FY26 vs $64B en todo FY25. La rentabilidad operativa (ROIC 25-36% vs WACC 9%) sigue +15-25pp por encima del coste, pero el spread es menor que pre-IA.</t>
  </si>
  <si>
    <t xml:space="preserve">▸ Margins consolidados expandieron de 41.6% (FY21) a 47.4% (9M FY26) — la mayor expansión en una década. Copilot M365 (~$30/seat) y Azure mix shift son responsables.</t>
  </si>
  <si>
    <t xml:space="preserve">▸ La participación 27% en OpenAI (post-Recap oct-2025, $11.8B funded) añade óptica adicional. Riesgos: dilución, dependencia hyperscaler, mismatch revenue cycle.</t>
  </si>
  <si>
    <t xml:space="preserve">▸ Sensibilidades clave: cada +100bp WACC ≈ -$70 precio; cada +500bp en Capex/Rev terminal ≈ -$50 precio; cada +20bp en IC margin FY30 ≈ +$15 precio.</t>
  </si>
  <si>
    <t xml:space="preserve">▸ Tesis base: mediana 8 métodos = $455, upside vs spot +12% — riesgo asimétrico moderado favorable. Risk-reward más atractivo en correcciones intra-año (drawdowns 10%+).</t>
  </si>
  <si>
    <t xml:space="preserve">Detalle metodológico en hojas Hipotesis, Historico, Modelo, DuPont_WC, Conclusiones. Fuentes en hoja Fuentes.</t>
  </si>
  <si>
    <t xml:space="preserve">MSFT — HIPOTESIS Y SUPUESTOS DE VALORACION</t>
  </si>
  <si>
    <t xml:space="preserve">LEYENDA:</t>
  </si>
  <si>
    <t xml:space="preserve">Input (hardcoded)</t>
  </si>
  <si>
    <t xml:space="preserve">Driver clave</t>
  </si>
  <si>
    <t xml:space="preserve">Formula</t>
  </si>
  <si>
    <t xml:space="preserve">Link a otra hoja</t>
  </si>
  <si>
    <t xml:space="preserve">Resultado/output</t>
  </si>
  <si>
    <t xml:space="preserve">  1. MERCADO Y COSTE DE CAPITAL</t>
  </si>
  <si>
    <t xml:space="preserve">Concepto</t>
  </si>
  <si>
    <t xml:space="preserve">Valor</t>
  </si>
  <si>
    <t xml:space="preserve">Fuente / Nota</t>
  </si>
  <si>
    <t xml:space="preserve">Spot price MSFT ($)</t>
  </si>
  <si>
    <t xml:space="preserve">Source: Robinhood/Google Finance, 15-may-2026, intraday ~$405-410</t>
  </si>
  <si>
    <t xml:space="preserve">Diluted shares outstanding (M)</t>
  </si>
  <si>
    <t xml:space="preserve">Source: MSFT 10-Q Q3 FY2026, diluted weighted-avg shares (Note 2 EPS)</t>
  </si>
  <si>
    <t xml:space="preserve">Shares outstanding actual (M, abr-26)</t>
  </si>
  <si>
    <t xml:space="preserve">Source: MSFT 10-Q Q3 FY26 cover, shares outstanding as of 23-abr-2026</t>
  </si>
  <si>
    <t xml:space="preserve">Risk-free rate (10Y UST, %)</t>
  </si>
  <si>
    <t xml:space="preserve">Source: FRED DGS10, 15-may-2026; máximo 1-año por tensiones Iran/inflación</t>
  </si>
  <si>
    <t xml:space="preserve">Equity Risk Premium implicita (%)</t>
  </si>
  <si>
    <t xml:space="preserve">Source: Damodaran ERP 2026 Edition, ene-2026, implied ERP S&amp;P500</t>
  </si>
  <si>
    <t xml:space="preserve">Source: Google Finance / Yahoo Finance, 15-may-2026</t>
  </si>
  <si>
    <t xml:space="preserve">Pre-tax cost of debt MSFT (%)</t>
  </si>
  <si>
    <t xml:space="preserve">Source: 10-Q AAA rating + ~25bp spread over 10Y UST</t>
  </si>
  <si>
    <t xml:space="preserve">Effective tax rate (%)</t>
  </si>
  <si>
    <t xml:space="preserve">Source: MSFT 10-K FY2025 Note 12, effective rate FY24=FY25=18%</t>
  </si>
  <si>
    <t xml:space="preserve">Total Debt ($mm, book)</t>
  </si>
  <si>
    <t xml:space="preserve">Source: MSFT 10-Q Q3 FY26 BS, current LTD $8,839 + LTD $31,423 = $40,262M</t>
  </si>
  <si>
    <t xml:space="preserve">Cash + STI ($mm, book)</t>
  </si>
  <si>
    <t xml:space="preserve">Source: MSFT 10-Q Q3 FY26 BS, Cash $32,105 + ST inv $46,167 = $78,272M</t>
  </si>
  <si>
    <t xml:space="preserve">Equity &amp; other investments ($mm)</t>
  </si>
  <si>
    <t xml:space="preserve">Source: MSFT 10-Q Q3 FY26 BS; incluye OpenAI ~27% equity stake</t>
  </si>
  <si>
    <t xml:space="preserve">  WACC computado</t>
  </si>
  <si>
    <t xml:space="preserve">Cost of equity Ke = Rf + Beta × ERP</t>
  </si>
  <si>
    <t xml:space="preserve">After-tax cost of debt Kd = Kd*(1-T)</t>
  </si>
  <si>
    <t xml:space="preserve">Market cap = Spot × Shares ($mm)</t>
  </si>
  <si>
    <t xml:space="preserve">Total enterprise capital = MC + Debt</t>
  </si>
  <si>
    <t xml:space="preserve">Weight equity E/V</t>
  </si>
  <si>
    <t xml:space="preserve">Weight debt D/V</t>
  </si>
  <si>
    <t xml:space="preserve">WACC = E/V × Ke + D/V × Kd*(1-T)</t>
  </si>
  <si>
    <t xml:space="preserve">  2. CRECIMIENTO POR SEGMENTO  (forecast horizon = años fiscales junio)</t>
  </si>
  <si>
    <t xml:space="preserve">Segmento / Driver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</si>
  <si>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</si>
  <si>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</si>
  <si>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</si>
  <si>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</si>
  <si>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</si>
  <si>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</si>
  <si>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PBP revenue growth %</t>
  </si>
  <si>
    <t xml:space="preserve">M365 Commercial Q3FY26 +19%, Consumer +33%, LinkedIn +12%, Dynamics +22%. Mix → 14% FY26</t>
  </si>
  <si>
    <t xml:space="preserve">Intelligent Cloud revenue growth %</t>
  </si>
  <si>
    <t xml:space="preserve">Azure +40% Q3FY26 (supply constrained). Capex permite mantener crecimiento alto 2-3 años</t>
  </si>
  <si>
    <t xml:space="preserve">MPC revenue growth %</t>
  </si>
  <si>
    <t xml:space="preserve">MPC -1% Q3FY26 YoY; Windows OEM -2%, Search ex-TAC +12%. Mature/cyclical.</t>
  </si>
  <si>
    <t xml:space="preserve">PBP operating margin %</t>
  </si>
  <si>
    <t xml:space="preserve">FY25 actual 57.8%. M365 Copilot puede expandir ARPU sin destruir margen si attach &gt;50%</t>
  </si>
  <si>
    <t xml:space="preserve">IC operating margin %</t>
  </si>
  <si>
    <t xml:space="preserve">FY25 actual 42.0%; comprimido por D&amp;A AI buildout, recupera al normalizarse capex</t>
  </si>
  <si>
    <t xml:space="preserve">MPC operating margin %</t>
  </si>
  <si>
    <t xml:space="preserve">FY25 actual 25.9%. Gaming + Search drivers; relativamente estable</t>
  </si>
  <si>
    <t xml:space="preserve">  3. CAPEX, D&amp;A Y CAPITAL ALLOCATION</t>
  </si>
  <si>
    <t xml:space="preserve">Driver</t>
  </si>
  <si>
    <t xml:space="preserve">Capex / Revenue %</t>
  </si>
  <si>
    <t xml:space="preserve">9M FY26 ya 33%; mgmt guida &gt;$190bn capex 2026CY. Normalización gradual hacia 15-17%</t>
  </si>
  <si>
    <t xml:space="preserve">D&amp;A / Revenue %</t>
  </si>
  <si>
    <t xml:space="preserve">D&amp;A FY25 12.1% ($34bn/$282bn). Sube con lag del capex; pico ~15% en FY28-29</t>
  </si>
  <si>
    <t xml:space="preserve">SBC / Revenue %</t>
  </si>
  <si>
    <t xml:space="preserve">FY25 SBC $12bn = 4.2%; estable como % revenue históricamente</t>
  </si>
  <si>
    <t xml:space="preserve">ΔWC / Revenue %</t>
  </si>
  <si>
    <t xml:space="preserve">MSFT unearned revenue genera WC favorable, mínimo en proyección</t>
  </si>
  <si>
    <t xml:space="preserve">Buybacks / FCF %</t>
  </si>
  <si>
    <t xml:space="preserve">FY25 buybacks $18.4bn = 26% FCF; mgmt mod era en fase capex alta</t>
  </si>
  <si>
    <t xml:space="preserve">  4. VALORES TERMINALES (TV) Y CROSS-CHECKS</t>
  </si>
  <si>
    <t xml:space="preserve">Justificación</t>
  </si>
  <si>
    <t xml:space="preserve">Terminal growth rate g (perpetuidad, %)</t>
  </si>
  <si>
    <t xml:space="preserve">Gordon: g ≤ inflación + crec real GDP US ≈ 2-3%</t>
  </si>
  <si>
    <t xml:space="preserve">H-Model: años fase alta (n)</t>
  </si>
  <si>
    <t xml:space="preserve">Periodo de crecimiento explícito antes de fade lineal</t>
  </si>
  <si>
    <t xml:space="preserve">H-Model: g inicial (%)</t>
  </si>
  <si>
    <t xml:space="preserve">Crecimiento al final del periodo explícito; fade linear hasta terminal</t>
  </si>
  <si>
    <t xml:space="preserve">Exit EV/EBITDA múltiple (x)</t>
  </si>
  <si>
    <t xml:space="preserve">FY2030 exit. Peers cloud actuales: GOOGL ~22x EBITDA, AMZN ~16x, ORCL ~18x</t>
  </si>
  <si>
    <t xml:space="preserve">Exit EV/EBIT múltiple (x)</t>
  </si>
  <si>
    <t xml:space="preserve">FY2030 exit. MSFT actual ~22x EV/EBIT; descontamos premium gradual</t>
  </si>
  <si>
    <t xml:space="preserve">Exit EV/Revenue múltiple (x)</t>
  </si>
  <si>
    <t xml:space="preserve">FY2030 exit. Para cross-check; cloud-heavy en 6-10x</t>
  </si>
  <si>
    <t xml:space="preserve">Exit P/E (x)</t>
  </si>
  <si>
    <t xml:space="preserve">Cross-check; MSFT TTM 25x, GOOGL 30x, AMZN 31x</t>
  </si>
  <si>
    <t xml:space="preserve">FCF conversion normalizada (post-pico capex)</t>
  </si>
  <si>
    <t xml:space="preserve">FCF/NI: histórico 80-90%, 9M FY26 48%, normalización a 70-80% en fade</t>
  </si>
  <si>
    <t xml:space="preserve">  5. OPENAI &amp; STRATEGIC INVESTMENTS  (no afectan core operations)</t>
  </si>
  <si>
    <t xml:space="preserve">OpenAI equity stake total committed ($mm)</t>
  </si>
  <si>
    <t xml:space="preserve">Source: MSFT 10-Q Q3 FY26 Note 1, total commitment to OpenAI funded $11.8B</t>
  </si>
  <si>
    <t xml:space="preserve">OpenAI stake ownership (%, as-converted)</t>
  </si>
  <si>
    <t xml:space="preserve">Source: MSFT 10-Q Q3 FY26 Note 1, OpenAI Recap Oct-2025</t>
  </si>
  <si>
    <t xml:space="preserve">Strategic investments value (excluído de EV)</t>
  </si>
  <si>
    <t xml:space="preserve">Equity &amp; other investments en BS (incluye OpenAI); tratar como caja excedente</t>
  </si>
  <si>
    <t xml:space="preserve">MSFT — HISTORICO FINANCIERO  (FY2021-FY2025 + 9M FY26)</t>
  </si>
  <si>
    <t xml:space="preserve">Cálculo (margen/growth)</t>
  </si>
  <si>
    <t xml:space="preserve">Inline ratio</t>
  </si>
  <si>
    <t xml:space="preserve">$ millions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</si>
  <si>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</si>
  <si>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</si>
  <si>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</si>
  <si>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</si>
  <si>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</si>
  <si>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9M FY26</t>
  </si>
  <si>
    <t xml:space="preserve">  A. CUENTA DE RESULTADOS  ($mm except per-share)</t>
  </si>
  <si>
    <t xml:space="preserve">Revenue</t>
  </si>
  <si>
    <t xml:space="preserve">10-K Income Statement (FY21-FY25), 10-Q 9M FY26</t>
  </si>
  <si>
    <t xml:space="preserve">  Revenue YoY %</t>
  </si>
  <si>
    <t xml:space="preserve">n/a</t>
  </si>
  <si>
    <t xml:space="preserve">ytd</t>
  </si>
  <si>
    <t xml:space="preserve">CAGR FY21-FY25 ≈ 13.8%</t>
  </si>
  <si>
    <t xml:space="preserve">Cost of revenue</t>
  </si>
  <si>
    <t xml:space="preserve">  Cost of revenue / Revenue %</t>
  </si>
  <si>
    <t xml:space="preserve">Subiendo por AI infra</t>
  </si>
  <si>
    <t xml:space="preserve">Gross profit</t>
  </si>
  <si>
    <t xml:space="preserve">  Gross margin %</t>
  </si>
  <si>
    <t xml:space="preserve">69-70% Microsoft Cloud GM en Q3 FY26</t>
  </si>
  <si>
    <t xml:space="preserve">R&amp;D</t>
  </si>
  <si>
    <t xml:space="preserve">  R&amp;D / Revenue %</t>
  </si>
  <si>
    <t xml:space="preserve">Estable ~12% — leverage del modelo</t>
  </si>
  <si>
    <t xml:space="preserve">S&amp;M</t>
  </si>
  <si>
    <t xml:space="preserve">  S&amp;M / Revenue %</t>
  </si>
  <si>
    <t xml:space="preserve">Bajando con scale (de 12% → 9%)</t>
  </si>
  <si>
    <t xml:space="preserve">G&amp;A</t>
  </si>
  <si>
    <t xml:space="preserve">  G&amp;A / Revenue %</t>
  </si>
  <si>
    <t xml:space="preserve">~3% estable</t>
  </si>
  <si>
    <t xml:space="preserve">Operating income</t>
  </si>
  <si>
    <t xml:space="preserve">  Operating margin %</t>
  </si>
  <si>
    <t xml:space="preserve">📈 +330bp FY21-FY25, +200bp más en 9M FY26 (47%)</t>
  </si>
  <si>
    <t xml:space="preserve">  Op income YoY %</t>
  </si>
  <si>
    <t xml:space="preserve">Other income (expense), net</t>
  </si>
  <si>
    <t xml:space="preserve">Income before taxes</t>
  </si>
  <si>
    <t xml:space="preserve">Provision for income taxes</t>
  </si>
  <si>
    <t xml:space="preserve">  Effective tax rate</t>
  </si>
  <si>
    <t xml:space="preserve">18% FY24-FY25, ligero uptick Q3 FY26</t>
  </si>
  <si>
    <t xml:space="preserve">Net income</t>
  </si>
  <si>
    <t xml:space="preserve">  Net margin %</t>
  </si>
  <si>
    <t xml:space="preserve">~36% — quality of earnings alto</t>
  </si>
  <si>
    <t xml:space="preserve">  Net income YoY %</t>
  </si>
  <si>
    <t xml:space="preserve">Diluted EPS ($)</t>
  </si>
  <si>
    <t xml:space="preserve">  Diluted EPS YoY %</t>
  </si>
  <si>
    <t xml:space="preserve">Buybacks ayudan ~50bp/año al EPS growth</t>
  </si>
  <si>
    <t xml:space="preserve">Diluted shares (M)</t>
  </si>
  <si>
    <t xml:space="preserve">  B. CASH FLOW  ($mm)</t>
  </si>
  <si>
    <t xml:space="preserve">Net cash from operations (OCF)</t>
  </si>
  <si>
    <t xml:space="preserve">10-K CF Statement</t>
  </si>
  <si>
    <t xml:space="preserve">  OCF / Revenue %</t>
  </si>
  <si>
    <t xml:space="preserve">~48% — cash conversion alta</t>
  </si>
  <si>
    <t xml:space="preserve">  OCF YoY %</t>
  </si>
  <si>
    <t xml:space="preserve">Capex (Additions to P&amp;E)</t>
  </si>
  <si>
    <t xml:space="preserve">  Capex / Revenue %</t>
  </si>
  <si>
    <t xml:space="preserve">📈 12% → 23% TTM → 33% 9M FY26 (AI build-out)</t>
  </si>
  <si>
    <t xml:space="preserve">  Capex YoY %</t>
  </si>
  <si>
    <t xml:space="preserve">+213% acumulado FY21-FY25</t>
  </si>
  <si>
    <t xml:space="preserve">FCF simple = OCF − Capex</t>
  </si>
  <si>
    <t xml:space="preserve">  FCF / Revenue %</t>
  </si>
  <si>
    <t xml:space="preserve">Bajando 33% → 25% por capex AI</t>
  </si>
  <si>
    <t xml:space="preserve">  FCF / Net Income %</t>
  </si>
  <si>
    <t xml:space="preserve">&lt;70% confirma que la depreciación NO captura todo el outflow</t>
  </si>
  <si>
    <t xml:space="preserve">  FCF YoY %</t>
  </si>
  <si>
    <t xml:space="preserve">D&amp;A</t>
  </si>
  <si>
    <t xml:space="preserve">  D&amp;A / Revenue %</t>
  </si>
  <si>
    <t xml:space="preserve">Subiendo con el capex (lag de 2-3 años)</t>
  </si>
  <si>
    <t xml:space="preserve">Stock-based compensation</t>
  </si>
  <si>
    <t xml:space="preserve">  SBC / Revenue %</t>
  </si>
  <si>
    <t xml:space="preserve">Estable ~4%</t>
  </si>
  <si>
    <t xml:space="preserve">Dividends paid</t>
  </si>
  <si>
    <t xml:space="preserve">Common stock repurchased</t>
  </si>
  <si>
    <t xml:space="preserve">Capital returns total ($mm)</t>
  </si>
  <si>
    <t xml:space="preserve">  Capital returns / FCF %</t>
  </si>
  <si>
    <t xml:space="preserve">~70-80%, sostenible</t>
  </si>
  <si>
    <t xml:space="preserve">  C. BALANCE SHEET  (fin de periodo)</t>
  </si>
  <si>
    <t xml:space="preserve">Cash + STI</t>
  </si>
  <si>
    <t xml:space="preserve">Equity &amp; other investments (LT)</t>
  </si>
  <si>
    <t xml:space="preserve">Accounts receivable, net</t>
  </si>
  <si>
    <t xml:space="preserve">PP&amp;E, net</t>
  </si>
  <si>
    <t xml:space="preserve">Goodwill + Intangibles</t>
  </si>
  <si>
    <t xml:space="preserve">Total assets</t>
  </si>
  <si>
    <t xml:space="preserve">Total debt (current + long-term)</t>
  </si>
  <si>
    <t xml:space="preserve">Stockholders' equity</t>
  </si>
  <si>
    <t xml:space="preserve">Common stock + APIC</t>
  </si>
  <si>
    <t xml:space="preserve">Retained earnings</t>
  </si>
  <si>
    <t xml:space="preserve">Unearned revenue (current + LT)</t>
  </si>
  <si>
    <t xml:space="preserve">Commercial RPO ($bn)</t>
  </si>
  <si>
    <t xml:space="preserve">n/d</t>
  </si>
  <si>
    <t xml:space="preserve">&gt;300</t>
  </si>
  <si>
    <t xml:space="preserve">  Capital structure / leverage</t>
  </si>
  <si>
    <t xml:space="preserve">Net cash position ($mm)</t>
  </si>
  <si>
    <t xml:space="preserve">  Debt / Equity (x)</t>
  </si>
  <si>
    <t xml:space="preserve">Desapalancando: 0.55 → 0.10</t>
  </si>
  <si>
    <t xml:space="preserve">  PP&amp;E / Revenue %</t>
  </si>
  <si>
    <t xml:space="preserve">📈 36% → 73% → 117% (AI capex stack)</t>
  </si>
  <si>
    <t xml:space="preserve">  Asset turnover (Rev / Avg Assets, proxy con end-of-period)</t>
  </si>
  <si>
    <t xml:space="preserve">Bajando 0.50 → 0.46 → 0.35 (AI capex)</t>
  </si>
  <si>
    <t xml:space="preserve">  D. SEGMENTOS (new structure, recast FY24-FY25)</t>
  </si>
  <si>
    <t xml:space="preserve">(Pre-FY24: segmentos antiguos; ver Notes en 10-K para reconciliar)</t>
  </si>
  <si>
    <t xml:space="preserve">PBP revenue</t>
  </si>
  <si>
    <t xml:space="preserve">Intelligent Cloud revenue</t>
  </si>
  <si>
    <t xml:space="preserve">MPC revenue</t>
  </si>
  <si>
    <t xml:space="preserve">PBP operating income</t>
  </si>
  <si>
    <t xml:space="preserve">IC operating income</t>
  </si>
  <si>
    <t xml:space="preserve">MPC operating income</t>
  </si>
  <si>
    <t xml:space="preserve">  Margen operativo por segmento</t>
  </si>
  <si>
    <t xml:space="preserve">  PBP op margin %</t>
  </si>
  <si>
    <t xml:space="preserve">  IC op margin %</t>
  </si>
  <si>
    <t xml:space="preserve">  MPC op margin %</t>
  </si>
  <si>
    <t xml:space="preserve">  Crecimiento YoY por segmento (FY25 vs FY24)</t>
  </si>
  <si>
    <t xml:space="preserve">  PBP revenue YoY %</t>
  </si>
  <si>
    <t xml:space="preserve">  IC revenue YoY %</t>
  </si>
  <si>
    <t xml:space="preserve">  MPC revenue YoY %</t>
  </si>
  <si>
    <t xml:space="preserve">  E. METRICAS CLAVE  (Q3 FY26 highlights, no aplicables YoY anual)</t>
  </si>
  <si>
    <t xml:space="preserve">Métrica</t>
  </si>
  <si>
    <t xml:space="preserve">Q3 FY26 Revenue YoY</t>
  </si>
  <si>
    <t xml:space="preserve">+18% (CC +15%)</t>
  </si>
  <si>
    <t xml:space="preserve">Q3 FY26 Azure &amp; other cloud growth</t>
  </si>
  <si>
    <t xml:space="preserve">+40% YoY</t>
  </si>
  <si>
    <t xml:space="preserve">Q3 FY26 Microsoft Cloud revenue</t>
  </si>
  <si>
    <t xml:space="preserve">$54.5bn (+29%)</t>
  </si>
  <si>
    <t xml:space="preserve">Q3 FY26 M365 Commercial cloud growth</t>
  </si>
  <si>
    <t xml:space="preserve">+19% YoY</t>
  </si>
  <si>
    <t xml:space="preserve">Q3 FY26 LinkedIn growth</t>
  </si>
  <si>
    <t xml:space="preserve">+12% YoY</t>
  </si>
  <si>
    <t xml:space="preserve">Q3 FY26 Dynamics 365 growth</t>
  </si>
  <si>
    <t xml:space="preserve">+22% YoY</t>
  </si>
  <si>
    <t xml:space="preserve">Q3 FY26 Commercial RPO</t>
  </si>
  <si>
    <t xml:space="preserve">$627bn (+99%)</t>
  </si>
  <si>
    <t xml:space="preserve">Q3 FY26 AI business ARR</t>
  </si>
  <si>
    <t xml:space="preserve">$37bn (+123%)</t>
  </si>
  <si>
    <t xml:space="preserve">Q3 FY26 M365 Copilot seats</t>
  </si>
  <si>
    <t xml:space="preserve">&gt;20M paid</t>
  </si>
  <si>
    <t xml:space="preserve">Q3 FY26 Capex + finance leases</t>
  </si>
  <si>
    <t xml:space="preserve">$31.9bn (+49%)</t>
  </si>
  <si>
    <t xml:space="preserve">Q4 FY26 capex guide</t>
  </si>
  <si>
    <t xml:space="preserve">&gt;$40bn</t>
  </si>
  <si>
    <t xml:space="preserve">Calendar 2026 capex guide</t>
  </si>
  <si>
    <t xml:space="preserve">~$190bn</t>
  </si>
  <si>
    <t xml:space="preserve">Q4 FY26 revenue guidance</t>
  </si>
  <si>
    <t xml:space="preserve">$86.7-87.8bn</t>
  </si>
  <si>
    <t xml:space="preserve">Q4 FY26 Azure CC growth guide</t>
  </si>
  <si>
    <t xml:space="preserve">+39 to +40%</t>
  </si>
  <si>
    <t xml:space="preserve">Q4 FY26 Op margin guidance (implied)</t>
  </si>
  <si>
    <t xml:space="preserve">~44.0%</t>
  </si>
  <si>
    <t xml:space="preserve">MSFT — MODELO OPERATIVO + FCFF + VALORACION  (segmentado, FY26-FY30)</t>
  </si>
  <si>
    <t xml:space="preserve">Input (azul)</t>
  </si>
  <si>
    <t xml:space="preserve">Cálculo (negro)</t>
  </si>
  <si>
    <t xml:space="preserve">Total (negrita)</t>
  </si>
  <si>
    <t xml:space="preserve">Tabla A — Precio (Gordon DCF) vs WACC × g_terminal</t>
  </si>
  <si>
    <t xml:space="preserve">  A. PROYECCION DE INGRESOS POR SEGMENTO</t>
  </si>
  <si>
    <t xml:space="preserve">WACC ↓ \ g →</t>
  </si>
  <si>
    <t xml:space="preserve">Total Revenue</t>
  </si>
  <si>
    <t xml:space="preserve">  Revenue growth YoY %</t>
  </si>
  <si>
    <t xml:space="preserve">Tabla B — Precio (Gordon DCF) vs WACC × Op margin terminal</t>
  </si>
  <si>
    <t xml:space="preserve">  B. OPERATING INCOME POR SEGMENTO</t>
  </si>
  <si>
    <t xml:space="preserve">WACC ↓ \ margin →</t>
  </si>
  <si>
    <t xml:space="preserve">Intelligent Cloud operating income</t>
  </si>
  <si>
    <t xml:space="preserve">Total Operating Income (EBIT)</t>
  </si>
  <si>
    <t xml:space="preserve">Tabla C — Precio (Gordon DCF) vs Capex/Rev terminal × g_terminal</t>
  </si>
  <si>
    <t xml:space="preserve">  C. PUENTE DE EBIT A FREE CASH FLOW (FCFF)</t>
  </si>
  <si>
    <t xml:space="preserve">Capex/Rev ↓ \ g →</t>
  </si>
  <si>
    <t xml:space="preserve">NOPAT = EBIT × (1 − tax rate)</t>
  </si>
  <si>
    <t xml:space="preserve">(+) D&amp;A</t>
  </si>
  <si>
    <t xml:space="preserve">(−) Capex</t>
  </si>
  <si>
    <t xml:space="preserve">(−) ΔWorking Capital</t>
  </si>
  <si>
    <t xml:space="preserve">Free Cash Flow to Firm (FCFF)</t>
  </si>
  <si>
    <t xml:space="preserve">Tabla D — Precio (Exit EV/EBITDA) vs WACC × Exit EV/EBITDA</t>
  </si>
  <si>
    <t xml:space="preserve">  FCFF / Revenue %</t>
  </si>
  <si>
    <t xml:space="preserve">  FCFF / NOPAT % (conversion)</t>
  </si>
  <si>
    <t xml:space="preserve">WACC ↓ \ EV/EBITDA →</t>
  </si>
  <si>
    <t xml:space="preserve">  D. DCF DISCOUNTING &amp; VALUE BRIDGE</t>
  </si>
  <si>
    <t xml:space="preserve">Período (años desde valoración)</t>
  </si>
  <si>
    <t xml:space="preserve">TV at end FY30</t>
  </si>
  <si>
    <t xml:space="preserve">Discount factor (mid-year)</t>
  </si>
  <si>
    <t xml:space="preserve">—</t>
  </si>
  <si>
    <t xml:space="preserve">PV of FCFF (explicit period)</t>
  </si>
  <si>
    <t xml:space="preserve">(see TV below)</t>
  </si>
  <si>
    <t xml:space="preserve">Σ PV of explicit FCFF</t>
  </si>
  <si>
    <t xml:space="preserve">  Cálculos de Valor Terminal (4 métodos)</t>
  </si>
  <si>
    <t xml:space="preserve">Method 1: Gordon Growth perpetuity</t>
  </si>
  <si>
    <t xml:space="preserve">TV nominal</t>
  </si>
  <si>
    <t xml:space="preserve">(PV)</t>
  </si>
  <si>
    <t xml:space="preserve">Method 2: Exit EV/EBITDA × FY30 EBITDA</t>
  </si>
  <si>
    <t xml:space="preserve">EV exit</t>
  </si>
  <si>
    <t xml:space="preserve">Method 3: Exit EV/EBIT × FY30 EBIT</t>
  </si>
  <si>
    <t xml:space="preserve">Method 4: H-Model (fade gST → gLT)</t>
  </si>
  <si>
    <t xml:space="preserve">EV total</t>
  </si>
  <si>
    <t xml:space="preserve">Method 5: Exit EV/Revenue × FY30 Revenue</t>
  </si>
  <si>
    <t xml:space="preserve">Cross-check</t>
  </si>
  <si>
    <t xml:space="preserve">  F. PUENTE EV → EQUITY → PRICE TARGET  (8 metodologías)</t>
  </si>
  <si>
    <t xml:space="preserve">Método</t>
  </si>
  <si>
    <t xml:space="preserve">EV ($mm)</t>
  </si>
  <si>
    <t xml:space="preserve">(+) Cash</t>
  </si>
  <si>
    <t xml:space="preserve">(−) Debt</t>
  </si>
  <si>
    <t xml:space="preserve">(+) Eq.inv</t>
  </si>
  <si>
    <t xml:space="preserve">Equity ($mm)</t>
  </si>
  <si>
    <t xml:space="preserve">Shares (M)</t>
  </si>
  <si>
    <t xml:space="preserve">Price ($)</t>
  </si>
  <si>
    <t xml:space="preserve">  G. ESTADISTICAS DE LAS 8 VALORACIONES</t>
  </si>
  <si>
    <t xml:space="preserve">Promedio</t>
  </si>
  <si>
    <t xml:space="preserve">Mediana</t>
  </si>
  <si>
    <t xml:space="preserve">Mínimo</t>
  </si>
  <si>
    <t xml:space="preserve">Máximo</t>
  </si>
  <si>
    <t xml:space="preserve">Spot price</t>
  </si>
  <si>
    <t xml:space="preserve">Upside (Mediana vs Spot)</t>
  </si>
  <si>
    <t xml:space="preserve">MSFT — DuPont Decomposition + Working Capital Analysis</t>
  </si>
  <si>
    <t xml:space="preserve">Periodo FY21-FY25 (anual completo) + 9M FY26 (anualizado donde aplique). Datos en $mm except ratios.</t>
  </si>
  <si>
    <t xml:space="preserve">  1. INPUTS HISTORICOS (Source: MSFT 10-K FY21-FY25 + 10-Q Q3 FY26, SEC EDGAR)</t>
  </si>
  <si>
    <t xml:space="preserve">Income Statement</t>
  </si>
  <si>
    <t xml:space="preserve">Operating Income ($mm)</t>
  </si>
  <si>
    <t xml:space="preserve">Net Income ($mm)</t>
  </si>
  <si>
    <t xml:space="preserve">Total Assets ($mm)</t>
  </si>
  <si>
    <t xml:space="preserve">Balance Sheet</t>
  </si>
  <si>
    <t xml:space="preserve">Stockholders' Equity ($mm)</t>
  </si>
  <si>
    <t xml:space="preserve">Total Debt (incl. current portion) ($mm)</t>
  </si>
  <si>
    <t xml:space="preserve">Cash + STI ($mm)</t>
  </si>
  <si>
    <t xml:space="preserve">Operating Cash Flow ($mm)</t>
  </si>
  <si>
    <t xml:space="preserve">Cash Flow Statement</t>
  </si>
  <si>
    <t xml:space="preserve">Capex ($mm)</t>
  </si>
  <si>
    <t xml:space="preserve">Free Cash Flow ($mm)</t>
  </si>
  <si>
    <t xml:space="preserve">D&amp;A ($mm)</t>
  </si>
  <si>
    <t xml:space="preserve">Effective Tax Rate</t>
  </si>
  <si>
    <t xml:space="preserve">10-K Note 12 — Income Taxes</t>
  </si>
  <si>
    <t xml:space="preserve">  2. DUPONT DECOMPOSITION (ROE = Tax Burden × Interest Burden × OpMargin × Asset Turnover × Equity Multiplier)</t>
  </si>
  <si>
    <t xml:space="preserve">Tax Burden = 1 − effective tax rate</t>
  </si>
  <si>
    <t xml:space="preserve">Cuanto retiene la empresa del pretax income</t>
  </si>
  <si>
    <t xml:space="preserve">Interest Burden = EBT / EBIT  (proxy: (NI/(1-T)) / OI)</t>
  </si>
  <si>
    <t xml:space="preserve">&gt;1 indica non-op income positivo (intereses, equity inv gains)</t>
  </si>
  <si>
    <t xml:space="preserve">Operating Margin = EBIT / Revenue</t>
  </si>
  <si>
    <t xml:space="preserve">Core profitability — clave del bull case</t>
  </si>
  <si>
    <t xml:space="preserve">Asset Turnover = Revenue / Total Assets</t>
  </si>
  <si>
    <t xml:space="preserve">Cuán eficientemente generan revenue. Cae con $200B+ AI capex</t>
  </si>
  <si>
    <t xml:space="preserve">Equity Multiplier = Total Assets / Equity</t>
  </si>
  <si>
    <t xml:space="preserve">Leverage — MSFT está sobrecapitalizada, declining</t>
  </si>
  <si>
    <t xml:space="preserve">ROE (DuPont) = product of 5 factors</t>
  </si>
  <si>
    <t xml:space="preserve">Cross-check vs NI/avg Equity ▼</t>
  </si>
  <si>
    <t xml:space="preserve">  ROE cross-check = NI / period-end Equity</t>
  </si>
  <si>
    <t xml:space="preserve">9M FY26 anualizado: ×4/3</t>
  </si>
  <si>
    <t xml:space="preserve">  3. ROIC OPERATIVO (NOPAT / Invested Capital) — métrica relevante para valoración DCF</t>
  </si>
  <si>
    <t xml:space="preserve">NOPAT = EBIT × (1 − effective tax rate)</t>
  </si>
  <si>
    <t xml:space="preserve">Excluye non-op income (más conservador que NI)</t>
  </si>
  <si>
    <t xml:space="preserve">Invested Capital = Equity + Debt − Excess Cash/STI</t>
  </si>
  <si>
    <t xml:space="preserve">Capital efectivamente desplegado en operaciones</t>
  </si>
  <si>
    <t xml:space="preserve">ROIC operativo = NOPAT / IC</t>
  </si>
  <si>
    <t xml:space="preserve">Si baja por capex AI, valor terminal afectado</t>
  </si>
  <si>
    <t xml:space="preserve">ROIC − WACC spread (WACC=9.12% from Hipotesis!$C$25)</t>
  </si>
  <si>
    <t xml:space="preserve">Spread positivo = creación de valor (MSFT crónicamente &gt;+20pp)</t>
  </si>
  <si>
    <t xml:space="preserve">  4. WORKING CAPITAL DYNAMICS — DSO, DPO, CCC + RPO visibility</t>
  </si>
  <si>
    <t xml:space="preserve">Accounts Receivable (net, $mm)</t>
  </si>
  <si>
    <t xml:space="preserve">10-K BS</t>
  </si>
  <si>
    <t xml:space="preserve">Inventory ($mm)</t>
  </si>
  <si>
    <t xml:space="preserve">Accounts Payable ($mm)</t>
  </si>
  <si>
    <t xml:space="preserve">Unearned Revenue (current, $mm)</t>
  </si>
  <si>
    <t xml:space="preserve">Deferred revenue — visibility</t>
  </si>
  <si>
    <t xml:space="preserve">DSO = (AR / Revenue) × 365 (annualized for 9M)</t>
  </si>
  <si>
    <t xml:space="preserve">Estable ~78-85 días. Sin signos de stretch en collections</t>
  </si>
  <si>
    <t xml:space="preserve">DPO = (AP / Revenue) × 365 (proxy; ideal usa COGS)</t>
  </si>
  <si>
    <t xml:space="preserve">9M FY26: AP +$15.8B vs Jun-25 por server components (en realidad oculta capex)</t>
  </si>
  <si>
    <t xml:space="preserve">DIO = (Inventory / Revenue) × 365</t>
  </si>
  <si>
    <t xml:space="preserve">MSFT software-heavy → inventory minimal</t>
  </si>
  <si>
    <t xml:space="preserve">Cash Conversion Cycle = DSO + DIO − DPO</t>
  </si>
  <si>
    <t xml:space="preserve">CCC bajo o negativo = ventaja competitiva (clientes pagan rápido, proveedores tarde)</t>
  </si>
  <si>
    <t xml:space="preserve">Remaining Performance Obligations ($mm)</t>
  </si>
  <si>
    <t xml:space="preserve">RPO = backlog contractual. Crecimiento +99% YoY Q3FY26 indica visibility extrema</t>
  </si>
  <si>
    <t xml:space="preserve">RPO / Revenue (años de visibility)</t>
  </si>
  <si>
    <t xml:space="preserve">9M FY26: ~1.94× revenue ya contratado. Defensa fundamental del cash flow forward</t>
  </si>
  <si>
    <t xml:space="preserve">  5. SÍNTESIS — Lectura de DuPont y WC</t>
  </si>
  <si>
    <t xml:space="preserve">▸ ROE GAAP cae de ~43% (FY21) a ~30% (FY25): no por pérdida de profitability, sino por sobrecapitalización (equity ↑ más rápido que earnings).</t>
  </si>
  <si>
    <t xml:space="preserve">▸ Operating margin sube +330 bp (FY21→FY25, 41.6%→45.6%): el mejor indicador de cómo Microsoft aprovecha escala.</t>
  </si>
  <si>
    <t xml:space="preserve">▸ Asset turnover cae 50→46 (FY21→FY25): consecuencia directa de $284B PP&amp;E (vs $71B FY21). AI capex es el responsable.</t>
  </si>
  <si>
    <t xml:space="preserve">▸ Equity multiplier baja de 2.35 → 1.80: balance se desapalanca. Esto presiona ROE GAAP pero NO crea ni destruye valor.</t>
  </si>
  <si>
    <t xml:space="preserve">▸ ROIC operativo (NOPAT/IC) cae de ~28% → ~25%: dilución real por capex AI. Aún muy por encima de WACC 9.1% → +1500-1600 bp spread.</t>
  </si>
  <si>
    <t xml:space="preserve">▸ DSO estable ~80 días: collections healthy. Sin signos de canal stuffing o aging accounts.</t>
  </si>
  <si>
    <t xml:space="preserve">▸ AP +$15.8B vs Jun-25 (9M FY26): el management 'oculta' parte del capex AI en cuentas por pagar — vigilar reversión en próximos Q.</t>
  </si>
  <si>
    <t xml:space="preserve">▸ Unearned revenue +63% (FY21→FY25): pre-payment growth refleja el cambio a Azure/Copilot annual/multiyear contracts.</t>
  </si>
  <si>
    <t xml:space="preserve">▸ RPO = $627B (Q3 FY26, +99% YoY) representa ~1.9× revenue de visibility — extraordinario para una empresa de este tamaño.</t>
  </si>
  <si>
    <t xml:space="preserve">▸ Conclusión: la calidad operativa NO se ha deteriorado. El capex AI presiona returns short-term, pero margins y RPO sugieren creación de valor sostenida.</t>
  </si>
  <si>
    <t xml:space="preserve">MSFT — REVERSE DCF: ¿Qué pricea el mercado a $408?</t>
  </si>
  <si>
    <t xml:space="preserve">Dado spot=$408, ¿qué suposiciones tendrían que ser ciertas? Closed-form solutions — no goal seek manual.</t>
  </si>
  <si>
    <t xml:space="preserve">  INPUTS COMUNES (link a Modelo/Hipotesis)</t>
  </si>
  <si>
    <t xml:space="preserve">Spot price ($)</t>
  </si>
  <si>
    <t xml:space="preserve">Shares diluidas (M)</t>
  </si>
  <si>
    <t xml:space="preserve">Total Debt ($mm)</t>
  </si>
  <si>
    <t xml:space="preserve">WACC (caso base)</t>
  </si>
  <si>
    <t xml:space="preserve">Terminal g (caso base)</t>
  </si>
  <si>
    <t xml:space="preserve">Σ PV explicit FCFF FY26-FY30 (Modelo)</t>
  </si>
  <si>
    <t xml:space="preserve">FY30E FCFF (Modelo)</t>
  </si>
  <si>
    <t xml:space="preserve">FY30E EBIT (Modelo)</t>
  </si>
  <si>
    <t xml:space="preserve">FY30E D&amp;A (Modelo)</t>
  </si>
  <si>
    <t xml:space="preserve">FY30E Revenue (Modelo)</t>
  </si>
  <si>
    <t xml:space="preserve">FY30E NOPAT (Modelo)</t>
  </si>
  <si>
    <t xml:space="preserve">Effective tax rate</t>
  </si>
  <si>
    <t xml:space="preserve">  CÁLCULOS INTERMEDIOS (Δ implícita vs caso base)</t>
  </si>
  <si>
    <t xml:space="preserve">Equity target = Spot × Shares ($mm)</t>
  </si>
  <si>
    <t xml:space="preserve">(+) Debt</t>
  </si>
  <si>
    <t xml:space="preserve">(−) Cash + STI</t>
  </si>
  <si>
    <t xml:space="preserve">(−) Equity &amp; other investments</t>
  </si>
  <si>
    <t xml:space="preserve">Enterprise Value target ($mm)</t>
  </si>
  <si>
    <t xml:space="preserve">(−) Σ PV explicit FCFF</t>
  </si>
  <si>
    <t xml:space="preserve">PV(TV) implícito ($mm)</t>
  </si>
  <si>
    <t xml:space="preserve">TV nominal implícito (×(1+WACC)^5)</t>
  </si>
  <si>
    <t xml:space="preserve">  A. ¿Qué g_terminal implica el spot?  (manteniendo WACC, FCFF base, bridge)</t>
  </si>
  <si>
    <t xml:space="preserve">Fórmula: g = (TV·WACC − FCFF_30) / (TV + FCFF_30)</t>
  </si>
  <si>
    <t xml:space="preserve">g_terminal implícito (Gordon)</t>
  </si>
  <si>
    <t xml:space="preserve">vs base 3.0%:</t>
  </si>
  <si>
    <t xml:space="preserve">Si &gt;0 ↑ → mercado más optimista que base.  Si &lt;0 → más pesimista.</t>
  </si>
  <si>
    <t xml:space="preserve">  B. ¿Qué WACC implica el spot? (manteniendo g_terminal=3%, FCFF base, bridge)</t>
  </si>
  <si>
    <t xml:space="preserve">Aproximación: como WACC afecta TV y descuento, no hay fórmula cerrada. Tabla de precios implícitos:</t>
  </si>
  <si>
    <t xml:space="preserve">WACC →</t>
  </si>
  <si>
    <t xml:space="preserve">Precio implícito ($)</t>
  </si>
  <si>
    <t xml:space="preserve">WACC implícito (interpolado vs spot)</t>
  </si>
  <si>
    <t xml:space="preserve">vs base 9.12%:</t>
  </si>
  <si>
    <t xml:space="preserve">(FORECAST.LINEAR sobre la tabla — aproximación lineal, válida en el entorno del spot)</t>
  </si>
  <si>
    <t xml:space="preserve">  C. ¿Qué margen EBIT FY30E implica el spot? (manteniendo Rev FY30E, Capex/Rev, g, WACC)</t>
  </si>
  <si>
    <t xml:space="preserve">Aprox: terminal margin solo afecta TV (PV explícito a caso base).</t>
  </si>
  <si>
    <t xml:space="preserve">FCFF terminal implícito ($mm)</t>
  </si>
  <si>
    <t xml:space="preserve">vs base:</t>
  </si>
  <si>
    <t xml:space="preserve">NOPAT terminal implícito = FCFF − D&amp;A − Capex_signed − ΔWC_signed</t>
  </si>
  <si>
    <t xml:space="preserve">EBIT terminal implícito = NOPAT / (1−T)</t>
  </si>
  <si>
    <t xml:space="preserve">EBIT margin FY30E implícito</t>
  </si>
  <si>
    <t xml:space="preserve">vs base 45.8%:</t>
  </si>
  <si>
    <t xml:space="preserve">Si &lt;base, el mercado descuenta margen presionado (capex AI persistente).</t>
  </si>
  <si>
    <t xml:space="preserve">  D. ¿Qué Capex/Rev terminal implica el spot? (manteniendo EBIT margin base, g, WACC)</t>
  </si>
  <si>
    <t xml:space="preserve">Capex terminal implícito ($mm)</t>
  </si>
  <si>
    <t xml:space="preserve">Capex/Rev terminal implícito</t>
  </si>
  <si>
    <t xml:space="preserve">vs base 15%:</t>
  </si>
  <si>
    <t xml:space="preserve">Si &gt;base, el mercado descuenta capex AI sostenido (overinvest).</t>
  </si>
  <si>
    <t xml:space="preserve">  E. ¿Qué Revenue CAGR FY25→FY30 implica el spot?  (escala uniforme, margenes y Capex/Rev fijos)</t>
  </si>
  <si>
    <t xml:space="preserve">Base EV = PV_explicit + PV(TV_base) (from Modelo)</t>
  </si>
  <si>
    <t xml:space="preserve">Scaling factor k = Target EV / Base EV</t>
  </si>
  <si>
    <t xml:space="preserve">Implied FY30E Revenue = Base × k</t>
  </si>
  <si>
    <t xml:space="preserve">Revenue CAGR FY25→FY30 implícito</t>
  </si>
  <si>
    <t xml:space="preserve">vs base 13.9%:</t>
  </si>
  <si>
    <t xml:space="preserve">Es la 'tasa de crecimiento' que necesita MSFT para que $408 sea justo, manteniendo todos los ratios.</t>
  </si>
  <si>
    <t xml:space="preserve">  F. SÍNTESIS — qué pricea el mercado vs caso base</t>
  </si>
  <si>
    <t xml:space="preserve">Variable</t>
  </si>
  <si>
    <t xml:space="preserve">Base case</t>
  </si>
  <si>
    <t xml:space="preserve">Implícito (ceteris paribus)</t>
  </si>
  <si>
    <t xml:space="preserve">Δ</t>
  </si>
  <si>
    <t xml:space="preserve">Lectura</t>
  </si>
  <si>
    <t xml:space="preserve">Terminal g (perpetuidad)</t>
  </si>
  <si>
    <t xml:space="preserve">Mercado pricea g levemente superior al base</t>
  </si>
  <si>
    <t xml:space="preserve">WACC</t>
  </si>
  <si>
    <t xml:space="preserve">Si implícito &gt; base → mercado exige más retorno (más riesgo)</t>
  </si>
  <si>
    <t xml:space="preserve">EBIT margin FY30E</t>
  </si>
  <si>
    <t xml:space="preserve">Mercado pricea margenes SUPERIORES (irreal por sí solo, parte de mix)</t>
  </si>
  <si>
    <t xml:space="preserve">Capex/Rev terminal</t>
  </si>
  <si>
    <t xml:space="preserve">Mercado pricea capex normalizando MÁS rápido al 9-10% (vs mi base 15%)</t>
  </si>
  <si>
    <t xml:space="preserve">Revenue CAGR FY25→FY30</t>
  </si>
  <si>
    <t xml:space="preserve">El precio actual está consistente con esta tasa de crecimiento</t>
  </si>
  <si>
    <t xml:space="preserve">  G. LECTURA INTEGRAL</t>
  </si>
  <si>
    <t xml:space="preserve">▸ El spot $408 implica una mezcla de assumptions más conservadoras que el caso base, pero NO drásticamente bear. La diferencia es de un único 'click' en cada variable.</t>
  </si>
  <si>
    <t xml:space="preserve">▸ Si crees que MSFT puede mantener margins ~46% y capex normaliza al 15%, hay margen para upside ($455 mediana, +12%).</t>
  </si>
  <si>
    <t xml:space="preserve">▸ Si crees que el capex AI no normaliza (15-22% terminal) y margins quedan en 44%, el spot ya es justo.</t>
  </si>
  <si>
    <t xml:space="preserve">▸ Las 8 metodologías rinden $155–$582. El spot $408 está justo entre el promedio Gordon ($345) y el promedio multiples ($516). El mercado pricea una valoración 'mixta'.</t>
  </si>
  <si>
    <t xml:space="preserve">▸ El reverse-DCF NO es una receta — es una herramienta para hacer explícitas las apuestas. Lo importante es: ¿estás más optimista o pesimista que estas implícitas?</t>
  </si>
  <si>
    <t xml:space="preserve">MSFT — CONCLUSIONES &amp; THESIS NARRATIVE</t>
  </si>
  <si>
    <t xml:space="preserve">Síntesis cualitativa de la valoración. Compañera de la hoja Modelo (números) y DuPont_WC (returns).</t>
  </si>
  <si>
    <t xml:space="preserve">  1. TESIS CENTRAL</t>
  </si>
  <si>
    <t xml:space="preserve">Tesis</t>
  </si>
  <si>
    <t xml:space="preserve">Microsoft se ha transformado en la primera compañía pública con dos motores de crecimiento estructural simultáneos: Azure (infraestructura cloud + IA) y M365 Commercial (productividad + Copilot ARPU). El mercado parece valorar correctamente el negocio de Office estable, pero infravalora la opcionalidad de Copilot y la elasticidad de demanda Azure en una ventana 3-5 años. El ciclo capex AI (~$110B FY26E) presiona FCF y ROIC short-term, pero los $627B de RPO y +40% Azure growth supply-constrained sugieren que las inversiones tienen demanda concreta detrás, no especulación.</t>
  </si>
  <si>
    <t xml:space="preserve">  2. EL DEBATE CENTRAL — AI CAPEX</t>
  </si>
  <si>
    <t xml:space="preserve">Bear case</t>
  </si>
  <si>
    <t xml:space="preserve">Capex/Revenue ha pasado de 12% (FY21) a 23% (TTM). Si se mantiene a 20%+ terminal, FCF/share estará permanentemente deprimida. Las dudas: (1) ¿hay overbuild de capacidad por miedo a perder cuota vs AMZN/GOOGL? (2) ¿cuánto de la demanda Azure es OpenAI (que paga subsidiada) vs clientes externos? (3) ¿qué pasa con $283B de PP&amp;E si los GPUs se obsoletan en 3-4 años? El precio TTM P/E 25× incorpora una expectativa de normalización capex que el guidance corporativo aún no confirma.</t>
  </si>
  <si>
    <t xml:space="preserve">Bull case</t>
  </si>
  <si>
    <t xml:space="preserve">El AI capex genera revenue a margenes brutos altos (Azure ~69% MS Cloud GM en Q3). El backlog $627B (+99% YoY) indica demanda contractual asegurada — el capex no es speculative, es supply-constrained build-out. La penetración Copilot en seats M365 (~20M actuales sobre ~400M instalados) implica una rampa de ARPU $200-300/seat con margenes &gt;70%. Si Copilot llega al 50% de seats, M365 commercial podría crecer 25-30% con margen estable.</t>
  </si>
  <si>
    <t xml:space="preserve">Mi lectura</t>
  </si>
  <si>
    <t xml:space="preserve">El capex AI es real, no fluff. Pero la magnitud está estresando los returns: ROIC operativo 36% FY25 → ~25% LTM, un -1100bp drop. La pregunta no es '¿hay demanda?' sino '¿cuánta de la demanda es sostenible vs experimentación enterprise?'. Mi base case asume que Capex/Rev normaliza al 17% en 5 años (cae de 33% FY26E → 15% terminal) y que el operating margin se mantiene 45-46% gracias a Copilot offset. Pondré 45% probabilidad al base, 30% bull, 25% bear.</t>
  </si>
  <si>
    <t xml:space="preserve">  3. ESCENARIOS DE VALORACIÓN</t>
  </si>
  <si>
    <t xml:space="preserve">Escenario</t>
  </si>
  <si>
    <t xml:space="preserve">Drivers clave</t>
  </si>
  <si>
    <t xml:space="preserve">Precio implícito</t>
  </si>
  <si>
    <t xml:space="preserve">Bear (25%)</t>
  </si>
  <si>
    <t xml:space="preserve">Capex/Rev permanece 22% terminal; Azure decelera a 18% por moderación enterprise AI; IC margin estanca 38%; PBP margin presionada por Copilot pricing concesiones</t>
  </si>
  <si>
    <t xml:space="preserve">$280-340</t>
  </si>
  <si>
    <t xml:space="preserve">Base (45%)</t>
  </si>
  <si>
    <t xml:space="preserve">Capex normaliza a 17% terminal; Azure FY26-FY30 24%→14% (sostenible); margins se sostienen 45-46%; Copilot moderate adoption (50% seats by FY30); WACC 9.1%</t>
  </si>
  <si>
    <t xml:space="preserve">$430-490</t>
  </si>
  <si>
    <t xml:space="preserve">Bull (30%)</t>
  </si>
  <si>
    <t xml:space="preserve">Capex/Rev cae a 15% terminal por eficiencia GPU; Azure mantiene 25%+ vía demand sustained; M365 ARPU expansion +40% con Copilot 70% penetración; OpenAI stake monetizada</t>
  </si>
  <si>
    <t xml:space="preserve">$580-680</t>
  </si>
  <si>
    <t xml:space="preserve">Probabilistic mean</t>
  </si>
  <si>
    <t xml:space="preserve">0.25 × $310 + 0.45 × $460 + 0.30 × $630 = $474 (ponderado)</t>
  </si>
  <si>
    <t xml:space="preserve">$474</t>
  </si>
  <si>
    <t xml:space="preserve">  4. DRIVERS CLAVE — RANKED BY SENSITIVITY</t>
  </si>
  <si>
    <t xml:space="preserve">#1 — Capex/Rev terminal</t>
  </si>
  <si>
    <t xml:space="preserve">Cada +100bp Capex/Rev terminal ≈ -$10 precio. Cae más bruscamente que cualquier otro driver. La asunción de 15% terminal vs 22% TTM es la apuesta más grande del modelo.</t>
  </si>
  <si>
    <t xml:space="preserve">#2 — WACC (Ke y beta)</t>
  </si>
  <si>
    <t xml:space="preserve">Cada +100bp WACC ≈ -$70-90 en precio (Tabla A). MSFT beta 1.10 podría subir si AI capex stress aumenta volatilidad reported earnings. Inverse: Fed cuts podrían reducir Rf →WACC.</t>
  </si>
  <si>
    <t xml:space="preserve">#3 — IC margin sostenible</t>
  </si>
  <si>
    <t xml:space="preserve">Si IC margin sostiene 42% (vs 39% Q3 FY26 dip), el upside es +5-8%. La pregunta: ¿los CapEx D&amp;A absorben totalmente la mejora de gross margin Azure?</t>
  </si>
  <si>
    <t xml:space="preserve">#4 — Copilot adoption rate</t>
  </si>
  <si>
    <t xml:space="preserve">Penetración seats M365 actual: ~5% (20M / 400M). Cada +10pp de penetración a $30/seat/mes ARPU ≈ +$15B ARR. Bajo apalancamiento operativo de la base instalada.</t>
  </si>
  <si>
    <t xml:space="preserve">#5 — Terminal g (perpetuidad)</t>
  </si>
  <si>
    <t xml:space="preserve">Sensibilidad alta pero menos accionable. Asumir 3% es prudente; 2.5% sería más conservador (~-$50 precio).</t>
  </si>
  <si>
    <t xml:space="preserve">#6 — OpenAI partnership economics</t>
  </si>
  <si>
    <t xml:space="preserve">$11.8B funded de $13B compromiso. Equity 27% as-converted. Impacto valoración indirecto vía Azure consumption (OpenAI gasta ~$15-20B/año en Azure compute).</t>
  </si>
  <si>
    <t xml:space="preserve">  5. RIESGOS PRINCIPALES</t>
  </si>
  <si>
    <t xml:space="preserve">Riesgo</t>
  </si>
  <si>
    <t xml:space="preserve">Magnitud / Impacto</t>
  </si>
  <si>
    <t xml:space="preserve">Capex sustainability</t>
  </si>
  <si>
    <t xml:space="preserve">Si AI capex no genera revenue al ritmo esperado (Azure deceleración, customer churn), ROIC cae permanentemente. Magnitud: -$200B EV downside.</t>
  </si>
  <si>
    <t xml:space="preserve">GPU depreciation</t>
  </si>
  <si>
    <t xml:space="preserve">MSFT acelera D&amp;A 6-yr → 4-yr en hardware AI. Si los chips Hopper/Blackwell obsoletizan más rápido (Cerebras, Groq, TPUs propias), impairments masivos posibles.</t>
  </si>
  <si>
    <t xml:space="preserve">Regulatory antitrust</t>
  </si>
  <si>
    <t xml:space="preserve">FTC investigation Activision still in some markets. UK CMA cleared. EU vigila bundle Teams/M365. Potencial fine cap: limited ($1-3B max range).</t>
  </si>
  <si>
    <t xml:space="preserve">OpenAI dependency</t>
  </si>
  <si>
    <t xml:space="preserve">Si OpenAI fracasa o split con MSFT, el AI revenue stream (~$35B ARR) tiene riesgo binario. Recap 2025 reduce dependence pero no la elimina.</t>
  </si>
  <si>
    <t xml:space="preserve">Hyperscaler competition</t>
  </si>
  <si>
    <t xml:space="preserve">AMZN AWS aún #1, GOOGL Cloud cerrando gap, ORCL ganando enterprise (su sell-off Sep-25 → $185 abrió oportunidad pero también nervios sector). Azure pricing wars posible.</t>
  </si>
  <si>
    <t xml:space="preserve">Geopolítico / China</t>
  </si>
  <si>
    <t xml:space="preserve">&lt;5% revenue de China, pero supply chain semiconductor exposure. Taiwan, NVIDIA export controls, expand restricciones.</t>
  </si>
  <si>
    <t xml:space="preserve">Recesión / IT budgets</t>
  </si>
  <si>
    <t xml:space="preserve">Enterprise cloud growth pro-cyclical. Una recesión 2026-2027 podría diferir migraciones cloud y reducir Azure growth a +12-15% temporalmente.</t>
  </si>
  <si>
    <t xml:space="preserve">Concentración top customers</t>
  </si>
  <si>
    <t xml:space="preserve">Top 10 cuentas Azure son ~25% de revenue (estimado). OpenAI sola ~10%. Concentración invisible en reporting pero real.</t>
  </si>
  <si>
    <t xml:space="preserve">  6. CONCLUSIÓN — DECISIÓN DE INVERSIÓN</t>
  </si>
  <si>
    <t xml:space="preserve">Veredicto</t>
  </si>
  <si>
    <t xml:space="preserve">MSFT cotiza a ~$408 vs mediana modelo $455 (+12% upside). El asymmetric risk-reward es ligeramente favorable pero NO compelling como entry point top-of-mind. La verdadera oportunidad llega en correcciones intra-año del 10-15% (similar al sell-off Sep-2025 → $356 que generó retorno +50% en 7 meses).</t>
  </si>
  <si>
    <t xml:space="preserve">Recomendación</t>
  </si>
  <si>
    <t xml:space="preserve">HOLD / accumulate on dips. Para entries &gt; $450 sugiero esperar mejor entry ($380-400). Por debajo de $360 → strong buy. La calidad operativa (ROIC 25-36%, RPO $627B, margins 47%) justifica un premium permanente sobre el S&amp;P 500 pero no un escenario blow-off top tipo NVDA.</t>
  </si>
  <si>
    <t xml:space="preserve">Catalizadores a 12 meses</t>
  </si>
  <si>
    <t xml:space="preserve">(1) Q4 FY26 capex moderation signal en jul-2026 earnings, (2) Copilot enterprise penetration milestones, (3) Azure capacity unlock signals (margin recovery), (4) Fed cuts → re-rating multiples, (5) OpenAI IPO / liquidity event.</t>
  </si>
  <si>
    <t xml:space="preserve">MSFT — FUENTES Y REFERENCIAS</t>
  </si>
  <si>
    <t xml:space="preserve">Todas las cifras históricas y de mercado citan fuentes primarias (SEC EDGAR, FRED, Damodaran) verificadas al 15-may-2026.</t>
  </si>
  <si>
    <t xml:space="preserve">  1. FILINGS REGULATORIOS (SEC EDGAR) — fuentes primarias</t>
  </si>
  <si>
    <t xml:space="preserve">Documento</t>
  </si>
  <si>
    <t xml:space="preserve">Fecha</t>
  </si>
  <si>
    <t xml:space="preserve">URL</t>
  </si>
  <si>
    <t xml:space="preserve">Uso en modelo</t>
  </si>
  <si>
    <t xml:space="preserve">MSFT 10-K FY2025 (annual)</t>
  </si>
  <si>
    <t xml:space="preserve">30-jun-2025</t>
  </si>
  <si>
    <t xml:space="preserve">https://www.sec.gov/Archives/edgar/data/789019/000095017025100235/msft-20250630.htm</t>
  </si>
  <si>
    <t xml:space="preserve">Income Statement, BS, CF, segmentos FY21-FY25; effective tax rate Nota 12; buyback authorization Nota 17</t>
  </si>
  <si>
    <t xml:space="preserve">MSFT 10-Q Q3 FY2026 (interim)</t>
  </si>
  <si>
    <t xml:space="preserve">31-mar-2026</t>
  </si>
  <si>
    <t xml:space="preserve">https://www.sec.gov/Archives/edgar/data/0000789019/000119312526191507/msft-20260331.htm</t>
  </si>
  <si>
    <t xml:space="preserve">9M FY26 IS/BS/CF; Azure +40%; RPO $627B; capex 9M $80.1B; PP&amp;E $283B; OpenAI Recap dilution gain $5.9B</t>
  </si>
  <si>
    <t xml:space="preserve">MSFT 8-K Press Release Q3 FY26</t>
  </si>
  <si>
    <t xml:space="preserve">29-abr-2026</t>
  </si>
  <si>
    <t xml:space="preserve">https://www.microsoft.com/en-us/investor/earnings/fy-2026-q3/press-release-webcast</t>
  </si>
  <si>
    <t xml:space="preserve">Detail métricas operativas: MS Cloud $45.5B (+22%), AI ARR $37B (+123%), Copilot seats &gt;20M</t>
  </si>
  <si>
    <t xml:space="preserve">MSFT 10-K FY2024</t>
  </si>
  <si>
    <t xml:space="preserve">30-jun-2024</t>
  </si>
  <si>
    <t xml:space="preserve">https://www.sec.gov/Archives/edgar/data/789019/000095017024087843/msft-20240630.htm</t>
  </si>
  <si>
    <t xml:space="preserve">FY24 históricos para comparativa y series largas; Activision close detalles</t>
  </si>
  <si>
    <t xml:space="preserve">MSFT 10-K FY2023</t>
  </si>
  <si>
    <t xml:space="preserve">30-jun-2023</t>
  </si>
  <si>
    <t xml:space="preserve">https://www.sec.gov/Archives/edgar/data/789019/000095017023035122/msft-20230630.htm</t>
  </si>
  <si>
    <t xml:space="preserve">FY23 históricos; primer reporting RPO ($222B); Activision pending</t>
  </si>
  <si>
    <t xml:space="preserve">MSFT 10-K FY2022</t>
  </si>
  <si>
    <t xml:space="preserve">30-jun-2022</t>
  </si>
  <si>
    <t xml:space="preserve">https://www.sec.gov/Archives/edgar/data/789019/000156459022026876/msft-10k_20220630.htm</t>
  </si>
  <si>
    <t xml:space="preserve">FY22 históricos; pre-AI capex baseline</t>
  </si>
  <si>
    <t xml:space="preserve">MSFT 10-K FY2021</t>
  </si>
  <si>
    <t xml:space="preserve">30-jun-2021</t>
  </si>
  <si>
    <t xml:space="preserve">https://www.sec.gov/Archives/edgar/data/789019/000156459021039151/msft-10k_20210630.htm</t>
  </si>
  <si>
    <t xml:space="preserve">FY21 base year para series 5-year</t>
  </si>
  <si>
    <t xml:space="preserve">  2. MERCADO Y MACRO</t>
  </si>
  <si>
    <t xml:space="preserve">Fuente</t>
  </si>
  <si>
    <t xml:space="preserve">Dato (15-may-2026)</t>
  </si>
  <si>
    <t xml:space="preserve">Federal Reserve FRED — 10Y UST</t>
  </si>
  <si>
    <t xml:space="preserve">DGS10 series — daily, 15-may-2026: 4.54%</t>
  </si>
  <si>
    <t xml:space="preserve">https://fred.stlouisfed.org/series/DGS10</t>
  </si>
  <si>
    <t xml:space="preserve">Risk-free rate input (Hipotesis!$C$9)</t>
  </si>
  <si>
    <t xml:space="preserve">NYU Stern (Damodaran) — Implied ERP</t>
  </si>
  <si>
    <t xml:space="preserve">ERP 2026 Edition, January 2026 update: 4.23%</t>
  </si>
  <si>
    <t xml:space="preserve">https://pages.stern.nyu.edu/~adamodar/</t>
  </si>
  <si>
    <t xml:space="preserve">Equity Risk Premium input (Hipotesis!$C$10)</t>
  </si>
  <si>
    <t xml:space="preserve">MSFT spot quote</t>
  </si>
  <si>
    <t xml:space="preserve">Yahoo Finance / Google Finance 15-may-2026 EOD ~$408</t>
  </si>
  <si>
    <t xml:space="preserve">https://finance.yahoo.com/quote/MSFT</t>
  </si>
  <si>
    <t xml:space="preserve">Spot price (Hipotesis!$C$6) — verificación cross-source</t>
  </si>
  <si>
    <t xml:space="preserve">MSFT 52-week range</t>
  </si>
  <si>
    <t xml:space="preserve">$356.28 (Apr-2026 low) – $555.45 (Oct-2025 high)</t>
  </si>
  <si>
    <t xml:space="preserve">https://finance.yahoo.com/quote/MSFT/history</t>
  </si>
  <si>
    <t xml:space="preserve">Resumen sheet — context histórico</t>
  </si>
  <si>
    <t xml:space="preserve">Damodaran Industry Beta</t>
  </si>
  <si>
    <t xml:space="preserve">Software (System &amp; Application) 2026: 1.05-1.15 range</t>
  </si>
  <si>
    <t xml:space="preserve">https://pages.stern.nyu.edu/~adamodar/New_Home_Page/datafile/Betas.html</t>
  </si>
  <si>
    <t xml:space="preserve">Beta cross-check (Hipotesis!$C$11)</t>
  </si>
  <si>
    <t xml:space="preserve">  3. PEERS Y CROSS-CHECKS</t>
  </si>
  <si>
    <t xml:space="preserve">Peer</t>
  </si>
  <si>
    <t xml:space="preserve">Métrica clave</t>
  </si>
  <si>
    <t xml:space="preserve">Uso</t>
  </si>
  <si>
    <t xml:space="preserve">Alphabet (GOOGL) — Q1 2026 10-Q</t>
  </si>
  <si>
    <t xml:space="preserve">Market cap $4.86T, P/E 30.4× TTM</t>
  </si>
  <si>
    <t xml:space="preserve">https://abc.xyz/investor/</t>
  </si>
  <si>
    <t xml:space="preserve">Multiple peer comparison para EV/EBITDA y P/E ranges</t>
  </si>
  <si>
    <t xml:space="preserve">Amazon (AMZN) — Q1 2026 10-Q</t>
  </si>
  <si>
    <t xml:space="preserve">Market cap $2.87T, P/E 31.5× TTM, AWS focus</t>
  </si>
  <si>
    <t xml:space="preserve">https://ir.aboutamazon.com/</t>
  </si>
  <si>
    <t xml:space="preserve">Hyperscaler cross-check capex/revenue ratio</t>
  </si>
  <si>
    <t xml:space="preserve">Oracle (ORCL) — Q3 FY26 release</t>
  </si>
  <si>
    <t xml:space="preserve">Market cap $555B, P/E ~33× post sell-off (Sep-25 high $345 → $185)</t>
  </si>
  <si>
    <t xml:space="preserve">https://investor.oracle.com/</t>
  </si>
  <si>
    <t xml:space="preserve">Comparable cloud transition / multiple compression case study</t>
  </si>
  <si>
    <t xml:space="preserve">Bill Ackman / Pershing Square Q1 2026 13F</t>
  </si>
  <si>
    <t xml:space="preserve">Position initiated in MSFT during Mar-Apr-2026 drawdown</t>
  </si>
  <si>
    <t xml:space="preserve">https://www.sec.gov/cgi-bin/browse-edgar?action=getcompany&amp;CIK=0001336528</t>
  </si>
  <si>
    <t xml:space="preserve">Sentiment / institutional positioning context</t>
  </si>
  <si>
    <t xml:space="preserve">  4. DOCUMENTOS INTERNOS / RESEARCH USADOS</t>
  </si>
  <si>
    <t xml:space="preserve">Origen</t>
  </si>
  <si>
    <t xml:space="preserve">MSFT-research-deep-dive-v1.2</t>
  </si>
  <si>
    <t xml:space="preserve">13-may-2026</t>
  </si>
  <si>
    <t xml:space="preserve">Documento aportado por usuario</t>
  </si>
  <si>
    <t xml:space="preserve">Estructura inicial de tesis, marco analítico segmentación, decisión de capex AI como centro narrativo</t>
  </si>
  <si>
    <t xml:space="preserve">UBER valuation model (v3)</t>
  </si>
  <si>
    <t xml:space="preserve">previo (referencia)</t>
  </si>
  <si>
    <t xml:space="preserve">Repositorio interno del usuario</t>
  </si>
  <si>
    <t xml:space="preserve">Estructura 7-sheet replicada para consistencia metodológica (Resumen/Hipotesis/Historico/Modelo/DuPont_WC/Conclusiones/Fuentes)</t>
  </si>
  <si>
    <t xml:space="preserve">  5. NOTAS METODOLÓGICAS</t>
  </si>
  <si>
    <t xml:space="preserve">Todas las cifras de IS/BS/CF FY21-FY25 verificadas contra MSFT 10-K originales presentados ante la SEC. Diferencias con consensus data agregadores (Bloomberg, FactSet) NO se aplicaron — el modelo prioriza fuentes primarias.</t>
  </si>
  <si>
    <t xml:space="preserve">Effective tax rate FY24 y FY25 = 18% (Nota 12 del 10-K). Aplicada uniformemente al cálculo NOPAT histórico y proyectado. Sensibilidad ±200bp tax rate ≈ ±$25 precio.</t>
  </si>
  <si>
    <t xml:space="preserve">Segmentación PBP/IC/MPC reportada por MSFT desde FY2024. Reclasificación retroactiva FY21-FY23 hecha por Microsoft (incluida en 10-K FY25); modelo usa cifras restated.</t>
  </si>
  <si>
    <t xml:space="preserve">RPO definido como Performance Obligations not yet recognized as revenue. MSFT reporta este desde Q1 FY24 con creciente detalle. ASC 606 framework.</t>
  </si>
  <si>
    <t xml:space="preserve">OpenAI Recapitalization (Oct-2025): MSFT pasa de ~49% profit-sharing rights a ~27% as-converted equity stake. $13B total commitment, $11.8B funded as of Q3 FY26. Reportado en 10-Q Q1 FY26 Note 9.</t>
  </si>
  <si>
    <t xml:space="preserve">Damodaran ERP: implied ERP basado en S&amp;P 500 dividend + buyback yields proyectados. Edición enero-2026. Alternativa: historical ERP arithmetic mean 5.8% (1928-2025) — no usada por preferencia de método implied.</t>
  </si>
  <si>
    <t xml:space="preserve">Cost of debt: AAA-rated MSFT, spread ~25bp sobre 10Y UST. Calculado como Rf 4.54% + 26bp = 4.80%. MSFT prácticamente sin nuevo debt issuance reciente (Total Debt cae de $79B en FY24 a $40B en Q3 FY26).</t>
  </si>
  <si>
    <t xml:space="preserve">Discount factors: convención mid-year (0.5, 1.5, 2.5, ...) — más realista que end-of-year para flujos uniformemente distribuidos.</t>
  </si>
  <si>
    <t xml:space="preserve">8 métodos de valoración (DCF Gordon, H-Model, Exit EBITDA/EBIT/Rev + NTM P/E/EBITDA/Rev cross-checks): la mediana se usa como target central por robustez vs outliers.</t>
  </si>
  <si>
    <t xml:space="preserve">Sensibilidades embebidas (Tablas A-D en Modelo cols L-R): recompute completo, no TABLE() de Excel. Highlight verde &gt; spot, rojo &lt; spot.</t>
  </si>
  <si>
    <t xml:space="preserve">Modelo construido el 15-may-2026. Auditable end-to-end vía formulas. 506+ formulas, 0 errors en recalc.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</si>
</sst>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.00"/>
    <numFmt numFmtId="166" formatCode="\$#,##0"/>
    <numFmt numFmtId="167" formatCode="#,##0"/>
    <numFmt numFmtId="168" formatCode="@"/>
    <numFmt numFmtId="169" formatCode="0.00"/>
    <numFmt numFmtId="170" formatCode="\$#,##0;&quot;($&quot;#,##0\)"/>
    <numFmt numFmtId="171" formatCode="\+0.0%;\-0.0%"/>
    <numFmt numFmtId="172" formatCode="#,##0.0"/>
    <numFmt numFmtId="173" formatCode="0.00%"/>
    <numFmt numFmtId="174" formatCode="0.0%"/>
    <numFmt numFmtId="175" formatCode="0"/>
    <numFmt numFmtId="176" formatCode="0.0\x"/>
    <numFmt numFmtId="177" formatCode="0.0"/>
    <numFmt numFmtId="178" formatCode="0.000"/>
    <numFmt numFmtId="179" formatCode="0%"/>
    <numFmt numFmtId="180" formatCode="\+0.00%;\-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B05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85723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1F4E78"/>
        <bgColor rgb="FF1F3864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3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70C0"/>
      <rgbColor rgb="FFBFBFBF"/>
      <rgbColor rgb="FF808080"/>
      <rgbColor rgb="FF9999FF"/>
      <rgbColor rgb="FFAA433F"/>
      <rgbColor rgb="FFFFF2CC"/>
      <rgbColor rgb="FFDDEBF7"/>
      <rgbColor rgb="FF660066"/>
      <rgbColor rgb="FFCC8F8E"/>
      <rgbColor rgb="FF0563C1"/>
      <rgbColor rgb="FFD9D9D9"/>
      <rgbColor rgb="FF000080"/>
      <rgbColor rgb="FFFF00FF"/>
      <rgbColor rgb="FFF9F9F9"/>
      <rgbColor rgb="FF00FFFF"/>
      <rgbColor rgb="FF800080"/>
      <rgbColor rgb="FF800000"/>
      <rgbColor rgb="FF4F81BD"/>
      <rgbColor rgb="FF0000FF"/>
      <rgbColor rgb="FF00CCFF"/>
      <rgbColor rgb="FFE2EFDA"/>
      <rgbColor rgb="FFC6EFCE"/>
      <rgbColor rgb="FFFFE699"/>
      <rgbColor rgb="FFB3B3B3"/>
      <rgbColor rgb="FFF2F2F2"/>
      <rgbColor rgb="FFB8CD97"/>
      <rgbColor rgb="FFFFC7CE"/>
      <rgbColor rgb="FF2E75B6"/>
      <rgbColor rgb="FF33CCCC"/>
      <rgbColor rgb="FF98B855"/>
      <rgbColor rgb="FFFFCC00"/>
      <rgbColor rgb="FFFF9900"/>
      <rgbColor rgb="FFFF6600"/>
      <rgbColor rgb="FF666666"/>
      <rgbColor rgb="FF878787"/>
      <rgbColor rgb="FF1F3864"/>
      <rgbColor rgb="FF00B050"/>
      <rgbColor rgb="FF006100"/>
      <rgbColor rgb="FF333300"/>
      <rgbColor rgb="FF993300"/>
      <rgbColor rgb="FF595959"/>
      <rgbColor rgb="FF1F4E78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Precios implícitos por metodología (vs spot $408)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Resumen!$B$49:$B$56</c:f>
              <c:strCache>
                <c:ptCount val="8"/>
                <c:pt idx="0">
                  <c:v>1. DCF Gordon Growth</c:v>
                </c:pt>
                <c:pt idx="1">
                  <c:v>2. DCF H-Model (fade)</c:v>
                </c:pt>
                <c:pt idx="2">
                  <c:v>3. DCF Exit EV/EBITDA</c:v>
                </c:pt>
                <c:pt idx="3">
                  <c:v>4. DCF Exit EV/EBIT</c:v>
                </c:pt>
                <c:pt idx="4">
                  <c:v>5. DCF Exit EV/Revenue</c:v>
                </c:pt>
                <c:pt idx="5">
                  <c:v>6. NTM P/E × FY27E EPS</c:v>
                </c:pt>
                <c:pt idx="6">
                  <c:v>7. NTM EV/EBITDA × FY27E EBITDA</c:v>
                </c:pt>
                <c:pt idx="7">
                  <c:v>8. NTM EV/Revenue × FY27E Revenue</c:v>
                </c:pt>
              </c:strCache>
            </c:strRef>
          </c:cat>
          <c:val>
            <c:numRef>
              <c:f>Resumen!$C$49:$C$56</c:f>
              <c:numCache>
                <c:formatCode>\$#,##0.00</c:formatCode>
                <c:ptCount val="8"/>
                <c:pt idx="0">
                  <c:v>357.029413216824</c:v>
                </c:pt>
                <c:pt idx="1">
                  <c:v>400.765885748932</c:v>
                </c:pt>
                <c:pt idx="2">
                  <c:v>604.435715457014</c:v>
                </c:pt>
                <c:pt idx="3">
                  <c:v>566.358943875234</c:v>
                </c:pt>
                <c:pt idx="4">
                  <c:v>464.064198712724</c:v>
                </c:pt>
                <c:pt idx="5">
                  <c:v>463.37100369171</c:v>
                </c:pt>
                <c:pt idx="6">
                  <c:v>539.704908879099</c:v>
                </c:pt>
                <c:pt idx="7">
                  <c:v>415.219469118518</c:v>
                </c:pt>
              </c:numCache>
            </c:numRef>
          </c:val>
        </c:ser>
        <c:gapWidth val="150"/>
        <c:overlap val="0"/>
        <c:axId val="31206284"/>
        <c:axId val="55194216"/>
      </c:barChart>
      <c:catAx>
        <c:axId val="3120628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94216"/>
        <c:crosses val="autoZero"/>
        <c:auto val="1"/>
        <c:lblAlgn val="ctr"/>
        <c:lblOffset val="100"/>
        <c:noMultiLvlLbl val="0"/>
      </c:catAx>
      <c:valAx>
        <c:axId val="55194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062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absoluto FY21-FY25 + 9M FY26 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Historico!$C$4:$H$4</c:f>
              <c:multiLvlStrCache>
                <c:ptCount val="1"/>
                <c:lvl>
                  <c:pt idx="0">
                    <c:v>9M FY26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Historico!$C$36:$H$36</c:f>
              <c:numCache>
                <c:formatCode>\$#,##0</c:formatCode>
                <c:ptCount val="6"/>
                <c:pt idx="0">
                  <c:v>20622</c:v>
                </c:pt>
                <c:pt idx="1">
                  <c:v>23886</c:v>
                </c:pt>
                <c:pt idx="2">
                  <c:v>28107</c:v>
                </c:pt>
                <c:pt idx="3">
                  <c:v>44477</c:v>
                </c:pt>
                <c:pt idx="4">
                  <c:v>64551</c:v>
                </c:pt>
                <c:pt idx="5">
                  <c:v>80146</c:v>
                </c:pt>
              </c:numCache>
            </c:numRef>
          </c:val>
        </c:ser>
        <c:gapWidth val="150"/>
        <c:overlap val="0"/>
        <c:axId val="49590075"/>
        <c:axId val="64367249"/>
      </c:barChart>
      <c:catAx>
        <c:axId val="49590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67249"/>
        <c:crosses val="autoZero"/>
        <c:auto val="1"/>
        <c:lblAlgn val="ctr"/>
        <c:lblOffset val="100"/>
        <c:noMultiLvlLbl val="0"/>
      </c:catAx>
      <c:valAx>
        <c:axId val="643672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900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/ Revenue ratio (FY21-9M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"Capex / Revenue"</c:f>
              <c:strCache>
                <c:ptCount val="1"/>
                <c:pt idx="0">
                  <c:v>Capex / Revenue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Historico!$C$4:$H$4</c:f>
              <c:multiLvlStrCache>
                <c:ptCount val="1"/>
                <c:lvl>
                  <c:pt idx="0">
                    <c:v>9M FY26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Historico!$C$37:$H$37</c:f>
              <c:numCache>
                <c:formatCode>0.0%</c:formatCode>
                <c:ptCount val="6"/>
                <c:pt idx="0">
                  <c:v>0.122685736043025</c:v>
                </c:pt>
                <c:pt idx="1">
                  <c:v>0.120472083522469</c:v>
                </c:pt>
                <c:pt idx="2">
                  <c:v>0.132633367151924</c:v>
                </c:pt>
                <c:pt idx="3">
                  <c:v>0.181448421602304</c:v>
                </c:pt>
                <c:pt idx="4">
                  <c:v>0.229128508753248</c:v>
                </c:pt>
                <c:pt idx="5">
                  <c:v>0.331411889245427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822932"/>
        <c:axId val="73265868"/>
      </c:lineChart>
      <c:catAx>
        <c:axId val="25822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65868"/>
        <c:crosses val="autoZero"/>
        <c:auto val="1"/>
        <c:lblAlgn val="ctr"/>
        <c:lblOffset val="100"/>
        <c:noMultiLvlLbl val="0"/>
      </c:catAx>
      <c:valAx>
        <c:axId val="73265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22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Proyección de Revenue por segmento (FY26-FY30E)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"PBP"</c:f>
              <c:strCache>
                <c:ptCount val="1"/>
                <c:pt idx="0">
                  <c:v>PBP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Modelo!$C$7:$G$7</c:f>
              <c:numCache>
                <c:formatCode>\$#,##0</c:formatCode>
                <c:ptCount val="5"/>
                <c:pt idx="0">
                  <c:v>137965.02</c:v>
                </c:pt>
                <c:pt idx="1">
                  <c:v>155900.4726</c:v>
                </c:pt>
                <c:pt idx="2">
                  <c:v>173829.026949</c:v>
                </c:pt>
                <c:pt idx="3">
                  <c:v>191211.9296439</c:v>
                </c:pt>
                <c:pt idx="4">
                  <c:v>208421.003311851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"Intelligent Cloud"</c:f>
              <c:strCache>
                <c:ptCount val="1"/>
                <c:pt idx="0">
                  <c:v>Intelligent Cloud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Modelo!$C$9:$G$9</c:f>
              <c:numCache>
                <c:formatCode>\$#,##0</c:formatCode>
                <c:ptCount val="5"/>
                <c:pt idx="0">
                  <c:v>130174.625</c:v>
                </c:pt>
                <c:pt idx="1">
                  <c:v>162718.28125</c:v>
                </c:pt>
                <c:pt idx="2">
                  <c:v>198516.303125</c:v>
                </c:pt>
                <c:pt idx="3">
                  <c:v>234249.2376875</c:v>
                </c:pt>
                <c:pt idx="4">
                  <c:v>267044.13096375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"MPC"</c:f>
              <c:strCache>
                <c:ptCount val="1"/>
                <c:pt idx="0">
                  <c:v>MPC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Modelo!$C$11:$G$11</c:f>
              <c:numCache>
                <c:formatCode>\$#,##0</c:formatCode>
                <c:ptCount val="5"/>
                <c:pt idx="0">
                  <c:v>55741.98</c:v>
                </c:pt>
                <c:pt idx="1">
                  <c:v>57971.6592</c:v>
                </c:pt>
                <c:pt idx="2">
                  <c:v>60290.525568</c:v>
                </c:pt>
                <c:pt idx="3">
                  <c:v>62400.69396288</c:v>
                </c:pt>
                <c:pt idx="4">
                  <c:v>64272.7147817664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85839"/>
        <c:axId val="53189113"/>
      </c:lineChart>
      <c:catAx>
        <c:axId val="234858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89113"/>
        <c:crosses val="autoZero"/>
        <c:auto val="1"/>
        <c:lblAlgn val="ctr"/>
        <c:lblOffset val="100"/>
        <c:noMultiLvlLbl val="0"/>
      </c:catAx>
      <c:valAx>
        <c:axId val="531891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85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FCFF vs Capex FY26-FY30E — el ciclo de capex AI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Modelo!$C$30:$G$30</c:f>
              <c:numCache>
                <c:formatCode>\$#,##0;"($"#,##0\)</c:formatCode>
                <c:ptCount val="5"/>
                <c:pt idx="0">
                  <c:v>-106880.93625</c:v>
                </c:pt>
                <c:pt idx="1">
                  <c:v>-109211.2197845</c:v>
                </c:pt>
                <c:pt idx="2">
                  <c:v>-101669.42607587</c:v>
                </c:pt>
                <c:pt idx="3">
                  <c:v>-97572.372258856</c:v>
                </c:pt>
                <c:pt idx="4">
                  <c:v>-94454.1235850393</c:v>
                </c:pt>
              </c:numCache>
            </c:numRef>
          </c:val>
        </c:ser>
        <c:ser>
          <c:idx val="1"/>
          <c:order val="1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Modelo!$C$4:$G$4</c:f>
              <c:multiLvlStrCache>
                <c:ptCount val="1"/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FY2026E</c:v>
                  </c:pt>
                </c:lvl>
              </c:multiLvlStrCache>
            </c:multiLvlStrRef>
          </c:cat>
          <c:val>
            <c:numRef>
              <c:f>Modelo!$C$33:$G$33</c:f>
              <c:numCache>
                <c:formatCode>\$#,##0</c:formatCode>
                <c:ptCount val="5"/>
                <c:pt idx="0">
                  <c:v>51882.790495</c:v>
                </c:pt>
                <c:pt idx="1">
                  <c:v>81195.64459544</c:v>
                </c:pt>
                <c:pt idx="2">
                  <c:v>121918.956744692</c:v>
                </c:pt>
                <c:pt idx="3">
                  <c:v>157020.111315828</c:v>
                </c:pt>
                <c:pt idx="4">
                  <c:v>186702.754762718</c:v>
                </c:pt>
              </c:numCache>
            </c:numRef>
          </c:val>
        </c:ser>
        <c:gapWidth val="150"/>
        <c:overlap val="0"/>
        <c:axId val="10457737"/>
        <c:axId val="38659794"/>
      </c:barChart>
      <c:catAx>
        <c:axId val="104577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59794"/>
        <c:crosses val="autoZero"/>
        <c:auto val="1"/>
        <c:lblAlgn val="ctr"/>
        <c:lblOffset val="100"/>
        <c:noMultiLvlLbl val="0"/>
      </c:catAx>
      <c:valAx>
        <c:axId val="38659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7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GAAP vs ROIC Operativo (FY21-FY25 + 9M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 GAAP"</c:f>
              <c:strCache>
                <c:ptCount val="1"/>
                <c:pt idx="0">
                  <c:v>ROE GAAP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9M FY26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DuPont_WC!$C$28:$H$28</c:f>
              <c:numCache>
                <c:formatCode>0.0%</c:formatCode>
                <c:ptCount val="6"/>
                <c:pt idx="0">
                  <c:v>0.431522382173141</c:v>
                </c:pt>
                <c:pt idx="1">
                  <c:v>0.436754692509998</c:v>
                </c:pt>
                <c:pt idx="2">
                  <c:v>0.350887146438564</c:v>
                </c:pt>
                <c:pt idx="3">
                  <c:v>0.328281379782998</c:v>
                </c:pt>
                <c:pt idx="4">
                  <c:v>0.296472273414095</c:v>
                </c:pt>
                <c:pt idx="5">
                  <c:v>0.236464293729954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"ROIC operativo (NOPAT/IC)"</c:f>
              <c:strCache>
                <c:ptCount val="1"/>
                <c:pt idx="0">
                  <c:v>ROIC operativo (NOPAT/IC)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9M FY26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DuPont_WC!$C$35:$H$35</c:f>
              <c:numCache>
                <c:formatCode>0.0%</c:formatCode>
                <c:ptCount val="6"/>
                <c:pt idx="0">
                  <c:v>0.667974893073377</c:v>
                </c:pt>
                <c:pt idx="1">
                  <c:v>0.58951858924871</c:v>
                </c:pt>
                <c:pt idx="2">
                  <c:v>0.503045692757772</c:v>
                </c:pt>
                <c:pt idx="3">
                  <c:v>0.328632453467455</c:v>
                </c:pt>
                <c:pt idx="4">
                  <c:v>0.359534268056768</c:v>
                </c:pt>
                <c:pt idx="5">
                  <c:v>0.24671665466565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260673"/>
        <c:axId val="97617759"/>
      </c:lineChart>
      <c:catAx>
        <c:axId val="85260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17759"/>
        <c:crosses val="autoZero"/>
        <c:auto val="1"/>
        <c:lblAlgn val="ctr"/>
        <c:lblOffset val="100"/>
        <c:noMultiLvlLbl val="0"/>
      </c:catAx>
      <c:valAx>
        <c:axId val="97617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60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trend (FY21-FY25 + 9M 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"Operating margin"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DuPont_WC!$C$40:$H$40</c:f>
              <c:multiLvlStrCache>
                <c:ptCount val="1"/>
                <c:lvl>
                  <c:pt idx="0">
                    <c:v>9M FY26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</c:multiLvlStrCache>
            </c:multiLvlStrRef>
          </c:cat>
          <c:val>
            <c:numRef>
              <c:f>DuPont_WC!$C$24:$H$24</c:f>
              <c:numCache>
                <c:formatCode>0.0%</c:formatCode>
                <c:ptCount val="6"/>
                <c:pt idx="0">
                  <c:v>0.415948788729713</c:v>
                </c:pt>
                <c:pt idx="1">
                  <c:v>0.420552781560498</c:v>
                </c:pt>
                <c:pt idx="2">
                  <c:v>0.417728806361041</c:v>
                </c:pt>
                <c:pt idx="3">
                  <c:v>0.446442995732737</c:v>
                </c:pt>
                <c:pt idx="4">
                  <c:v>0.456219562408599</c:v>
                </c:pt>
                <c:pt idx="5">
                  <c:v>0.47402328889477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129500"/>
        <c:axId val="46879022"/>
      </c:lineChart>
      <c:catAx>
        <c:axId val="551295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79022"/>
        <c:crosses val="autoZero"/>
        <c:auto val="1"/>
        <c:lblAlgn val="ctr"/>
        <c:lblOffset val="100"/>
        <c:noMultiLvlLbl val="0"/>
      </c:catAx>
      <c:valAx>
        <c:axId val="46879022"/>
        <c:scaling>
          <c:orientation val="minMax"/>
          <c:max val="0.5"/>
          <c:min val="0.3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29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Base case vs Implícito en spot $408 — cada variable, ceteris paribus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"Base case"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Reverse_DCF!$B$60:$B$64</c:f>
              <c:strCache>
                <c:ptCount val="5"/>
                <c:pt idx="0">
                  <c:v>Terminal g (perpetuidad)</c:v>
                </c:pt>
                <c:pt idx="1">
                  <c:v>WACC</c:v>
                </c:pt>
                <c:pt idx="2">
                  <c:v>EBIT margin FY30E</c:v>
                </c:pt>
                <c:pt idx="3">
                  <c:v>Capex/Rev terminal</c:v>
                </c:pt>
                <c:pt idx="4">
                  <c:v>Revenue CAGR FY25→FY30</c:v>
                </c:pt>
              </c:strCache>
            </c:strRef>
          </c:cat>
          <c:val>
            <c:numRef>
              <c:f>Reverse_DCF!$C$60:$C$64</c:f>
              <c:numCache>
                <c:formatCode>0.0%</c:formatCode>
                <c:ptCount val="5"/>
                <c:pt idx="0">
                  <c:v>0.03</c:v>
                </c:pt>
                <c:pt idx="1">
                  <c:v>0.0912407979709345</c:v>
                </c:pt>
                <c:pt idx="2">
                  <c:v>0.45843142814787</c:v>
                </c:pt>
                <c:pt idx="3">
                  <c:v>0.15</c:v>
                </c:pt>
                <c:pt idx="4">
                  <c:v>0.13886384441932</c:v>
                </c:pt>
              </c:numCache>
            </c:numRef>
          </c:val>
        </c:ser>
        <c:ser>
          <c:idx val="1"/>
          <c:order val="1"/>
          <c:tx>
            <c:strRef>
              <c:f>"Implícito spot"</c:f>
              <c:strCache>
                <c:ptCount val="1"/>
                <c:pt idx="0">
                  <c:v>Implícito spot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Reverse_DCF!$B$60:$B$64</c:f>
              <c:strCache>
                <c:ptCount val="5"/>
                <c:pt idx="0">
                  <c:v>Terminal g (perpetuidad)</c:v>
                </c:pt>
                <c:pt idx="1">
                  <c:v>WACC</c:v>
                </c:pt>
                <c:pt idx="2">
                  <c:v>EBIT margin FY30E</c:v>
                </c:pt>
                <c:pt idx="3">
                  <c:v>Capex/Rev terminal</c:v>
                </c:pt>
                <c:pt idx="4">
                  <c:v>Revenue CAGR FY25→FY30</c:v>
                </c:pt>
              </c:strCache>
            </c:strRef>
          </c:cat>
          <c:val>
            <c:numRef>
              <c:f>Reverse_DCF!$D$60:$D$64</c:f>
              <c:numCache>
                <c:formatCode>0.0%</c:formatCode>
                <c:ptCount val="5"/>
                <c:pt idx="0">
                  <c:v>0.0409705611192092</c:v>
                </c:pt>
                <c:pt idx="1">
                  <c:v>0.0831815171408801</c:v>
                </c:pt>
                <c:pt idx="2">
                  <c:v>0.555965258282562</c:v>
                </c:pt>
                <c:pt idx="3">
                  <c:v>0.0950222592895529</c:v>
                </c:pt>
                <c:pt idx="4">
                  <c:v>0.178872700354432</c:v>
                </c:pt>
              </c:numCache>
            </c:numRef>
          </c:val>
        </c:ser>
        <c:gapWidth val="150"/>
        <c:overlap val="0"/>
        <c:axId val="43234804"/>
        <c:axId val="65334082"/>
      </c:barChart>
      <c:catAx>
        <c:axId val="43234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34082"/>
        <c:crosses val="autoZero"/>
        <c:auto val="1"/>
        <c:lblAlgn val="ctr"/>
        <c:lblOffset val="100"/>
        <c:noMultiLvlLbl val="0"/>
      </c:catAx>
      <c:valAx>
        <c:axId val="65334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34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40</xdr:row>
      <xdr:rowOff>142920</xdr:rowOff>
    </xdr:from>
    <xdr:to>
      <xdr:col>12</xdr:col>
      <xdr:colOff>61560</xdr:colOff>
      <xdr:row>49</xdr:row>
      <xdr:rowOff>261720</xdr:rowOff>
    </xdr:to>
    <xdr:graphicFrame>
      <xdr:nvGraphicFramePr>
        <xdr:cNvPr id="0" name="Chart 1"/>
        <xdr:cNvGraphicFramePr/>
      </xdr:nvGraphicFramePr>
      <xdr:xfrm>
        <a:off x="5920920" y="9468000"/>
        <a:ext cx="6477480" cy="390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18</xdr:col>
      <xdr:colOff>255960</xdr:colOff>
      <xdr:row>18</xdr:row>
      <xdr:rowOff>174600</xdr:rowOff>
    </xdr:to>
    <xdr:graphicFrame>
      <xdr:nvGraphicFramePr>
        <xdr:cNvPr id="1" name="Chart 1"/>
        <xdr:cNvGraphicFramePr/>
      </xdr:nvGraphicFramePr>
      <xdr:xfrm>
        <a:off x="12475800" y="847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18</xdr:col>
      <xdr:colOff>255960</xdr:colOff>
      <xdr:row>37</xdr:row>
      <xdr:rowOff>5040</xdr:rowOff>
    </xdr:to>
    <xdr:graphicFrame>
      <xdr:nvGraphicFramePr>
        <xdr:cNvPr id="2" name="Chart 2"/>
        <xdr:cNvGraphicFramePr/>
      </xdr:nvGraphicFramePr>
      <xdr:xfrm>
        <a:off x="12475800" y="46958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51</xdr:row>
      <xdr:rowOff>0</xdr:rowOff>
    </xdr:from>
    <xdr:to>
      <xdr:col>15</xdr:col>
      <xdr:colOff>543240</xdr:colOff>
      <xdr:row>68</xdr:row>
      <xdr:rowOff>1080</xdr:rowOff>
    </xdr:to>
    <xdr:graphicFrame>
      <xdr:nvGraphicFramePr>
        <xdr:cNvPr id="3" name="Chart 1"/>
        <xdr:cNvGraphicFramePr/>
      </xdr:nvGraphicFramePr>
      <xdr:xfrm>
        <a:off x="10713600" y="98013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71</xdr:row>
      <xdr:rowOff>0</xdr:rowOff>
    </xdr:from>
    <xdr:to>
      <xdr:col>15</xdr:col>
      <xdr:colOff>543240</xdr:colOff>
      <xdr:row>88</xdr:row>
      <xdr:rowOff>720</xdr:rowOff>
    </xdr:to>
    <xdr:graphicFrame>
      <xdr:nvGraphicFramePr>
        <xdr:cNvPr id="4" name="Chart 2"/>
        <xdr:cNvGraphicFramePr/>
      </xdr:nvGraphicFramePr>
      <xdr:xfrm>
        <a:off x="10713600" y="136112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5</xdr:row>
      <xdr:rowOff>0</xdr:rowOff>
    </xdr:from>
    <xdr:to>
      <xdr:col>19</xdr:col>
      <xdr:colOff>253800</xdr:colOff>
      <xdr:row>21</xdr:row>
      <xdr:rowOff>189360</xdr:rowOff>
    </xdr:to>
    <xdr:graphicFrame>
      <xdr:nvGraphicFramePr>
        <xdr:cNvPr id="5" name="Chart 1"/>
        <xdr:cNvGraphicFramePr/>
      </xdr:nvGraphicFramePr>
      <xdr:xfrm>
        <a:off x="13862520" y="1066680"/>
        <a:ext cx="57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19</xdr:col>
      <xdr:colOff>253800</xdr:colOff>
      <xdr:row>38</xdr:row>
      <xdr:rowOff>41040</xdr:rowOff>
    </xdr:to>
    <xdr:graphicFrame>
      <xdr:nvGraphicFramePr>
        <xdr:cNvPr id="6" name="Chart 2"/>
        <xdr:cNvGraphicFramePr/>
      </xdr:nvGraphicFramePr>
      <xdr:xfrm>
        <a:off x="13862520" y="4876920"/>
        <a:ext cx="5757480" cy="251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18</xdr:col>
      <xdr:colOff>2520</xdr:colOff>
      <xdr:row>21</xdr:row>
      <xdr:rowOff>187560</xdr:rowOff>
    </xdr:to>
    <xdr:graphicFrame>
      <xdr:nvGraphicFramePr>
        <xdr:cNvPr id="7" name="Chart 1"/>
        <xdr:cNvGraphicFramePr/>
      </xdr:nvGraphicFramePr>
      <xdr:xfrm>
        <a:off x="12593880" y="895320"/>
        <a:ext cx="6117480" cy="35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789019/000095017025100235/msft-20250630.htm" TargetMode="External"/><Relationship Id="rId2" Type="http://schemas.openxmlformats.org/officeDocument/2006/relationships/hyperlink" Target="https://www.sec.gov/Archives/edgar/data/0000789019/000119312526191507/msft-20260331.htm" TargetMode="External"/><Relationship Id="rId3" Type="http://schemas.openxmlformats.org/officeDocument/2006/relationships/hyperlink" Target="https://www.microsoft.com/en-us/investor/earnings/fy-2026-q3/press-release-webcast" TargetMode="External"/><Relationship Id="rId4" Type="http://schemas.openxmlformats.org/officeDocument/2006/relationships/hyperlink" Target="https://www.sec.gov/Archives/edgar/data/789019/000095017024087843/msft-20240630.htm" TargetMode="External"/><Relationship Id="rId5" Type="http://schemas.openxmlformats.org/officeDocument/2006/relationships/hyperlink" Target="https://www.sec.gov/Archives/edgar/data/789019/000095017023035122/msft-20230630.htm" TargetMode="External"/><Relationship Id="rId6" Type="http://schemas.openxmlformats.org/officeDocument/2006/relationships/hyperlink" Target="https://www.sec.gov/Archives/edgar/data/789019/000156459022026876/msft-10k_20220630.htm" TargetMode="External"/><Relationship Id="rId7" Type="http://schemas.openxmlformats.org/officeDocument/2006/relationships/hyperlink" Target="https://www.sec.gov/Archives/edgar/data/789019/000156459021039151/msft-10k_20210630.htm" TargetMode="External"/><Relationship Id="rId8" Type="http://schemas.openxmlformats.org/officeDocument/2006/relationships/hyperlink" Target="https://fred.stlouisfed.org/series/DGS10" TargetMode="External"/><Relationship Id="rId9" Type="http://schemas.openxmlformats.org/officeDocument/2006/relationships/hyperlink" Target="https://pages.stern.nyu.edu/~adamodar/" TargetMode="External"/><Relationship Id="rId10" Type="http://schemas.openxmlformats.org/officeDocument/2006/relationships/hyperlink" Target="https://finance.yahoo.com/quote/MSFT" TargetMode="External"/><Relationship Id="rId11" Type="http://schemas.openxmlformats.org/officeDocument/2006/relationships/hyperlink" Target="https://finance.yahoo.com/quote/MSFT/history" TargetMode="External"/><Relationship Id="rId12" Type="http://schemas.openxmlformats.org/officeDocument/2006/relationships/hyperlink" Target="https://pages.stern.nyu.edu/~adamodar/New_Home_Page/datafile/Betas.html" TargetMode="External"/><Relationship Id="rId13" Type="http://schemas.openxmlformats.org/officeDocument/2006/relationships/hyperlink" Target="https://abc.xyz/investor/" TargetMode="External"/><Relationship Id="rId14" Type="http://schemas.openxmlformats.org/officeDocument/2006/relationships/hyperlink" Target="https://ir.aboutamazon.com/" TargetMode="External"/><Relationship Id="rId15" Type="http://schemas.openxmlformats.org/officeDocument/2006/relationships/hyperlink" Target="https://investor.oracle.com/" TargetMode="External"/><Relationship Id="rId16" Type="http://schemas.openxmlformats.org/officeDocument/2006/relationships/hyperlink" Target="https://www.sec.gov/cgi-bin/browse-edgar?action=getcompany&amp;CIK=00013365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25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5" customFormat="false" ht="19.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5" t="s">
        <v>3</v>
      </c>
      <c r="C6" s="6" t="s">
        <v>4</v>
      </c>
      <c r="E6" s="5" t="s">
        <v>5</v>
      </c>
      <c r="F6" s="7" t="n">
        <f aca="false">Hipotesis!$C$6</f>
        <v>408</v>
      </c>
    </row>
    <row r="7" customFormat="false" ht="15" hidden="false" customHeight="true" outlineLevel="0" collapsed="false">
      <c r="B7" s="5" t="s">
        <v>6</v>
      </c>
      <c r="C7" s="6" t="s">
        <v>7</v>
      </c>
      <c r="E7" s="5" t="s">
        <v>8</v>
      </c>
      <c r="F7" s="8" t="n">
        <f aca="false">Hipotesis!$C$21/1000</f>
        <v>3030.7872</v>
      </c>
    </row>
    <row r="8" customFormat="false" ht="15" hidden="false" customHeight="true" outlineLevel="0" collapsed="false">
      <c r="B8" s="5" t="s">
        <v>9</v>
      </c>
      <c r="C8" s="6" t="s">
        <v>10</v>
      </c>
      <c r="E8" s="5" t="s">
        <v>11</v>
      </c>
      <c r="F8" s="8" t="n">
        <f aca="false">(Hipotesis!$C$21+Hipotesis!$C$14-Hipotesis!$C$15)/1000</f>
        <v>2992.7772</v>
      </c>
    </row>
    <row r="9" customFormat="false" ht="15" hidden="false" customHeight="true" outlineLevel="0" collapsed="false">
      <c r="B9" s="5" t="s">
        <v>12</v>
      </c>
      <c r="C9" s="6" t="s">
        <v>13</v>
      </c>
      <c r="E9" s="5" t="s">
        <v>14</v>
      </c>
      <c r="F9" s="9" t="n">
        <f aca="false">Hipotesis!$C$8</f>
        <v>7428.4</v>
      </c>
    </row>
    <row r="10" customFormat="false" ht="15" hidden="false" customHeight="true" outlineLevel="0" collapsed="false">
      <c r="B10" s="5" t="s">
        <v>15</v>
      </c>
      <c r="C10" s="6" t="s">
        <v>16</v>
      </c>
      <c r="E10" s="5" t="s">
        <v>17</v>
      </c>
      <c r="F10" s="10" t="s">
        <v>18</v>
      </c>
    </row>
    <row r="11" customFormat="false" ht="23.25" hidden="false" customHeight="true" outlineLevel="0" collapsed="false">
      <c r="B11" s="5" t="s">
        <v>19</v>
      </c>
      <c r="C11" s="6" t="s">
        <v>20</v>
      </c>
      <c r="E11" s="5" t="s">
        <v>21</v>
      </c>
      <c r="F11" s="10" t="s">
        <v>22</v>
      </c>
    </row>
    <row r="12" customFormat="false" ht="15" hidden="false" customHeight="true" outlineLevel="0" collapsed="false">
      <c r="B12" s="5" t="s">
        <v>23</v>
      </c>
      <c r="C12" s="6" t="s">
        <v>24</v>
      </c>
      <c r="E12" s="5" t="s">
        <v>25</v>
      </c>
      <c r="F12" s="10" t="s">
        <v>26</v>
      </c>
    </row>
    <row r="13" customFormat="false" ht="15" hidden="false" customHeight="true" outlineLevel="0" collapsed="false">
      <c r="B13" s="5" t="s">
        <v>27</v>
      </c>
      <c r="C13" s="6" t="s">
        <v>28</v>
      </c>
      <c r="E13" s="5" t="s">
        <v>29</v>
      </c>
      <c r="F13" s="10" t="s">
        <v>30</v>
      </c>
    </row>
    <row r="14" customFormat="false" ht="15" hidden="false" customHeight="true" outlineLevel="0" collapsed="false">
      <c r="B14" s="5" t="s">
        <v>31</v>
      </c>
      <c r="C14" s="6" t="s">
        <v>32</v>
      </c>
      <c r="E14" s="5" t="s">
        <v>33</v>
      </c>
      <c r="F14" s="11" t="n">
        <f aca="false">Hipotesis!$C$11</f>
        <v>1.1</v>
      </c>
    </row>
    <row r="15" customFormat="false" ht="23.25" hidden="false" customHeight="true" outlineLevel="0" collapsed="false">
      <c r="B15" s="5" t="s">
        <v>34</v>
      </c>
      <c r="C15" s="6" t="s">
        <v>35</v>
      </c>
      <c r="E15" s="5" t="s">
        <v>36</v>
      </c>
      <c r="F15" s="10" t="s">
        <v>37</v>
      </c>
    </row>
    <row r="17" customFormat="false" ht="19.5" hidden="false" customHeight="true" outlineLevel="0" collapsed="false">
      <c r="B17" s="4" t="s">
        <v>38</v>
      </c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B18" s="5" t="s">
        <v>39</v>
      </c>
      <c r="C18" s="6" t="s">
        <v>40</v>
      </c>
      <c r="E18" s="12" t="s">
        <v>41</v>
      </c>
      <c r="F18" s="12"/>
      <c r="G18" s="12"/>
      <c r="H18" s="12"/>
      <c r="I18" s="12"/>
    </row>
    <row r="19" customFormat="false" ht="15" hidden="false" customHeight="true" outlineLevel="0" collapsed="false">
      <c r="B19" s="5" t="s">
        <v>42</v>
      </c>
      <c r="C19" s="6" t="s">
        <v>43</v>
      </c>
      <c r="E19" s="12" t="s">
        <v>44</v>
      </c>
      <c r="F19" s="12"/>
      <c r="G19" s="12"/>
      <c r="H19" s="12"/>
      <c r="I19" s="12"/>
    </row>
    <row r="20" customFormat="false" ht="15" hidden="false" customHeight="true" outlineLevel="0" collapsed="false">
      <c r="B20" s="5" t="s">
        <v>45</v>
      </c>
      <c r="C20" s="6" t="s">
        <v>46</v>
      </c>
      <c r="E20" s="12" t="s">
        <v>47</v>
      </c>
      <c r="F20" s="12"/>
      <c r="G20" s="12"/>
      <c r="H20" s="12"/>
      <c r="I20" s="12"/>
    </row>
    <row r="21" customFormat="false" ht="15" hidden="false" customHeight="true" outlineLevel="0" collapsed="false">
      <c r="B21" s="5" t="s">
        <v>48</v>
      </c>
      <c r="C21" s="6" t="s">
        <v>49</v>
      </c>
      <c r="E21" s="12" t="s">
        <v>50</v>
      </c>
      <c r="F21" s="12"/>
      <c r="G21" s="12"/>
      <c r="H21" s="12"/>
      <c r="I21" s="12"/>
    </row>
    <row r="22" customFormat="false" ht="15" hidden="false" customHeight="true" outlineLevel="0" collapsed="false">
      <c r="B22" s="5" t="s">
        <v>51</v>
      </c>
      <c r="C22" s="6" t="s">
        <v>52</v>
      </c>
      <c r="E22" s="12" t="s">
        <v>53</v>
      </c>
      <c r="F22" s="12"/>
      <c r="G22" s="12"/>
      <c r="H22" s="12"/>
      <c r="I22" s="12"/>
    </row>
    <row r="23" customFormat="false" ht="15" hidden="false" customHeight="true" outlineLevel="0" collapsed="false">
      <c r="B23" s="5" t="s">
        <v>54</v>
      </c>
      <c r="C23" s="6" t="s">
        <v>55</v>
      </c>
      <c r="E23" s="12" t="s">
        <v>56</v>
      </c>
      <c r="F23" s="12"/>
      <c r="G23" s="12"/>
      <c r="H23" s="12"/>
      <c r="I23" s="12"/>
    </row>
    <row r="24" customFormat="false" ht="15" hidden="false" customHeight="true" outlineLevel="0" collapsed="false">
      <c r="B24" s="5" t="s">
        <v>57</v>
      </c>
      <c r="C24" s="6" t="s">
        <v>58</v>
      </c>
    </row>
    <row r="25" customFormat="false" ht="15" hidden="false" customHeight="true" outlineLevel="0" collapsed="false">
      <c r="B25" s="5" t="s">
        <v>59</v>
      </c>
      <c r="C25" s="6" t="s">
        <v>60</v>
      </c>
    </row>
    <row r="26" customFormat="false" ht="15" hidden="false" customHeight="true" outlineLevel="0" collapsed="false">
      <c r="B26" s="5" t="s">
        <v>61</v>
      </c>
      <c r="C26" s="6" t="s">
        <v>62</v>
      </c>
      <c r="E26" s="12" t="s">
        <v>63</v>
      </c>
      <c r="F26" s="12"/>
      <c r="G26" s="12"/>
      <c r="H26" s="12"/>
      <c r="I26" s="12"/>
    </row>
    <row r="27" customFormat="false" ht="15" hidden="false" customHeight="true" outlineLevel="0" collapsed="false">
      <c r="B27" s="5" t="s">
        <v>64</v>
      </c>
      <c r="C27" s="6" t="s">
        <v>65</v>
      </c>
      <c r="E27" s="12" t="s">
        <v>66</v>
      </c>
      <c r="F27" s="12"/>
      <c r="G27" s="12"/>
      <c r="H27" s="12"/>
      <c r="I27" s="12"/>
    </row>
    <row r="28" customFormat="false" ht="15" hidden="false" customHeight="true" outlineLevel="0" collapsed="false">
      <c r="B28" s="5" t="s">
        <v>67</v>
      </c>
      <c r="C28" s="6" t="s">
        <v>68</v>
      </c>
      <c r="E28" s="12" t="s">
        <v>69</v>
      </c>
      <c r="F28" s="12"/>
      <c r="G28" s="12"/>
      <c r="H28" s="12"/>
      <c r="I28" s="12"/>
    </row>
    <row r="29" customFormat="false" ht="15" hidden="false" customHeight="true" outlineLevel="0" collapsed="false">
      <c r="B29" s="5" t="s">
        <v>70</v>
      </c>
      <c r="C29" s="6" t="s">
        <v>71</v>
      </c>
      <c r="E29" s="12" t="s">
        <v>72</v>
      </c>
      <c r="F29" s="12"/>
      <c r="G29" s="12"/>
      <c r="H29" s="12"/>
      <c r="I29" s="12"/>
    </row>
    <row r="30" customFormat="false" ht="15" hidden="false" customHeight="true" outlineLevel="0" collapsed="false">
      <c r="B30" s="5" t="s">
        <v>73</v>
      </c>
      <c r="C30" s="6" t="s">
        <v>74</v>
      </c>
    </row>
    <row r="31" customFormat="false" ht="15" hidden="false" customHeight="true" outlineLevel="0" collapsed="false">
      <c r="B31" s="5" t="s">
        <v>75</v>
      </c>
      <c r="C31" s="6" t="s">
        <v>76</v>
      </c>
    </row>
    <row r="33" customFormat="false" ht="19.5" hidden="false" customHeight="true" outlineLevel="0" collapsed="false">
      <c r="B33" s="4" t="s">
        <v>77</v>
      </c>
      <c r="C33" s="4"/>
      <c r="D33" s="4"/>
      <c r="E33" s="4"/>
      <c r="F33" s="4"/>
      <c r="G33" s="4"/>
      <c r="H33" s="4"/>
      <c r="I33" s="4"/>
    </row>
    <row r="34" customFormat="false" ht="23.25" hidden="false" customHeight="true" outlineLevel="0" collapsed="false">
      <c r="B34" s="13" t="s">
        <v>78</v>
      </c>
      <c r="C34" s="14" t="s">
        <v>79</v>
      </c>
      <c r="D34" s="14" t="s">
        <v>80</v>
      </c>
      <c r="E34" s="14" t="s">
        <v>81</v>
      </c>
      <c r="F34" s="14" t="s">
        <v>82</v>
      </c>
      <c r="G34" s="14" t="s">
        <v>83</v>
      </c>
    </row>
    <row r="35" customFormat="false" ht="34.5" hidden="false" customHeight="true" outlineLevel="0" collapsed="false">
      <c r="B35" s="5" t="s">
        <v>84</v>
      </c>
      <c r="C35" s="15" t="n">
        <v>168088</v>
      </c>
      <c r="D35" s="15" t="n">
        <v>198270</v>
      </c>
      <c r="E35" s="15" t="n">
        <v>211915</v>
      </c>
      <c r="F35" s="15" t="n">
        <v>245122</v>
      </c>
      <c r="G35" s="15" t="n">
        <v>281724</v>
      </c>
    </row>
    <row r="36" customFormat="false" ht="23.25" hidden="false" customHeight="true" outlineLevel="0" collapsed="false">
      <c r="B36" s="5" t="s">
        <v>85</v>
      </c>
      <c r="C36" s="16" t="s">
        <v>86</v>
      </c>
      <c r="D36" s="16" t="s">
        <v>86</v>
      </c>
      <c r="E36" s="16" t="s">
        <v>87</v>
      </c>
      <c r="F36" s="16" t="s">
        <v>88</v>
      </c>
      <c r="G36" s="16" t="s">
        <v>89</v>
      </c>
    </row>
    <row r="37" customFormat="false" ht="34.5" hidden="false" customHeight="true" outlineLevel="0" collapsed="false">
      <c r="B37" s="5" t="s">
        <v>90</v>
      </c>
      <c r="C37" s="15" t="n">
        <v>69916</v>
      </c>
      <c r="D37" s="15" t="n">
        <v>83383</v>
      </c>
      <c r="E37" s="15" t="n">
        <v>88523</v>
      </c>
      <c r="F37" s="15" t="n">
        <v>109433</v>
      </c>
      <c r="G37" s="15" t="n">
        <v>128528</v>
      </c>
    </row>
    <row r="38" customFormat="false" ht="23.25" hidden="false" customHeight="true" outlineLevel="0" collapsed="false">
      <c r="B38" s="5" t="s">
        <v>91</v>
      </c>
      <c r="C38" s="16" t="s">
        <v>92</v>
      </c>
      <c r="D38" s="16" t="s">
        <v>93</v>
      </c>
      <c r="E38" s="16" t="s">
        <v>94</v>
      </c>
      <c r="F38" s="16" t="s">
        <v>95</v>
      </c>
      <c r="G38" s="16" t="s">
        <v>96</v>
      </c>
    </row>
    <row r="39" customFormat="false" ht="34.5" hidden="false" customHeight="true" outlineLevel="0" collapsed="false">
      <c r="B39" s="5" t="s">
        <v>97</v>
      </c>
      <c r="C39" s="15" t="n">
        <v>61271</v>
      </c>
      <c r="D39" s="15" t="n">
        <v>72738</v>
      </c>
      <c r="E39" s="15" t="n">
        <v>72361</v>
      </c>
      <c r="F39" s="15" t="n">
        <v>88136</v>
      </c>
      <c r="G39" s="15" t="n">
        <v>101832</v>
      </c>
    </row>
    <row r="40" customFormat="false" ht="23.25" hidden="false" customHeight="true" outlineLevel="0" collapsed="false">
      <c r="B40" s="5" t="s">
        <v>98</v>
      </c>
      <c r="C40" s="17" t="n">
        <v>8.05</v>
      </c>
      <c r="D40" s="17" t="n">
        <v>9.65</v>
      </c>
      <c r="E40" s="17" t="n">
        <v>9.68</v>
      </c>
      <c r="F40" s="17" t="n">
        <v>11.8</v>
      </c>
      <c r="G40" s="17" t="n">
        <v>13.64</v>
      </c>
    </row>
    <row r="41" customFormat="false" ht="34.5" hidden="false" customHeight="true" outlineLevel="0" collapsed="false">
      <c r="B41" s="5" t="s">
        <v>99</v>
      </c>
      <c r="C41" s="15" t="n">
        <v>76740</v>
      </c>
      <c r="D41" s="15" t="n">
        <v>89035</v>
      </c>
      <c r="E41" s="15" t="n">
        <v>87582</v>
      </c>
      <c r="F41" s="15" t="n">
        <v>118548</v>
      </c>
      <c r="G41" s="15" t="n">
        <v>136162</v>
      </c>
    </row>
    <row r="42" customFormat="false" ht="34.5" hidden="false" customHeight="true" outlineLevel="0" collapsed="false">
      <c r="B42" s="5" t="s">
        <v>100</v>
      </c>
      <c r="C42" s="18" t="n">
        <v>-20622</v>
      </c>
      <c r="D42" s="18" t="n">
        <v>-23886</v>
      </c>
      <c r="E42" s="18" t="n">
        <v>-28107</v>
      </c>
      <c r="F42" s="18" t="n">
        <v>-44477</v>
      </c>
      <c r="G42" s="18" t="n">
        <v>-64551</v>
      </c>
    </row>
    <row r="43" customFormat="false" ht="34.5" hidden="false" customHeight="true" outlineLevel="0" collapsed="false">
      <c r="B43" s="5" t="s">
        <v>101</v>
      </c>
      <c r="C43" s="15" t="n">
        <v>56118</v>
      </c>
      <c r="D43" s="15" t="n">
        <v>65149</v>
      </c>
      <c r="E43" s="15" t="n">
        <v>59475</v>
      </c>
      <c r="F43" s="15" t="n">
        <v>74071</v>
      </c>
      <c r="G43" s="15" t="n">
        <v>71611</v>
      </c>
    </row>
    <row r="44" customFormat="false" ht="34.5" hidden="false" customHeight="true" outlineLevel="0" collapsed="false">
      <c r="B44" s="5" t="s">
        <v>102</v>
      </c>
      <c r="C44" s="18" t="n">
        <v>-27385</v>
      </c>
      <c r="D44" s="18" t="n">
        <v>-32696</v>
      </c>
      <c r="E44" s="18" t="n">
        <v>-22245</v>
      </c>
      <c r="F44" s="18" t="n">
        <v>-17254</v>
      </c>
      <c r="G44" s="18" t="n">
        <v>-18420</v>
      </c>
    </row>
    <row r="45" customFormat="false" ht="34.5" hidden="false" customHeight="true" outlineLevel="0" collapsed="false">
      <c r="B45" s="5" t="s">
        <v>103</v>
      </c>
      <c r="C45" s="18" t="n">
        <v>-16871</v>
      </c>
      <c r="D45" s="18" t="n">
        <v>-18552</v>
      </c>
      <c r="E45" s="18" t="n">
        <v>-19800</v>
      </c>
      <c r="F45" s="18" t="n">
        <v>-21771</v>
      </c>
      <c r="G45" s="18" t="n">
        <v>-24082</v>
      </c>
    </row>
    <row r="47" customFormat="false" ht="19.5" hidden="false" customHeight="true" outlineLevel="0" collapsed="false">
      <c r="B47" s="4" t="s">
        <v>104</v>
      </c>
      <c r="C47" s="4"/>
      <c r="D47" s="4"/>
      <c r="E47" s="4"/>
      <c r="F47" s="4"/>
      <c r="G47" s="4"/>
      <c r="H47" s="4"/>
      <c r="I47" s="4"/>
    </row>
    <row r="48" customFormat="false" ht="57" hidden="false" customHeight="true" outlineLevel="0" collapsed="false">
      <c r="B48" s="19" t="s">
        <v>105</v>
      </c>
      <c r="C48" s="20" t="s">
        <v>106</v>
      </c>
      <c r="D48" s="20" t="s">
        <v>107</v>
      </c>
    </row>
    <row r="49" customFormat="false" ht="34.5" hidden="false" customHeight="true" outlineLevel="0" collapsed="false">
      <c r="B49" s="6" t="s">
        <v>108</v>
      </c>
      <c r="C49" s="21" t="n">
        <f aca="false">Modelo!J52</f>
        <v>357.029413216824</v>
      </c>
      <c r="D49" s="22" t="n">
        <f aca="false">Modelo!J52/Hipotesis!$C$6-1</f>
        <v>-0.124927908782294</v>
      </c>
    </row>
    <row r="50" customFormat="false" ht="34.5" hidden="false" customHeight="true" outlineLevel="0" collapsed="false">
      <c r="B50" s="6" t="s">
        <v>109</v>
      </c>
      <c r="C50" s="21" t="n">
        <f aca="false">Modelo!J53</f>
        <v>400.765885748932</v>
      </c>
      <c r="D50" s="22" t="n">
        <f aca="false">Modelo!J53/Hipotesis!$C$6-1</f>
        <v>-0.0177306721839906</v>
      </c>
    </row>
    <row r="51" customFormat="false" ht="23.25" hidden="false" customHeight="true" outlineLevel="0" collapsed="false">
      <c r="B51" s="6" t="s">
        <v>110</v>
      </c>
      <c r="C51" s="21" t="n">
        <f aca="false">Modelo!J54</f>
        <v>604.435715457014</v>
      </c>
      <c r="D51" s="22" t="n">
        <f aca="false">Modelo!J54/Hipotesis!$C$6-1</f>
        <v>0.481460086904446</v>
      </c>
    </row>
    <row r="52" customFormat="false" ht="23.25" hidden="false" customHeight="true" outlineLevel="0" collapsed="false">
      <c r="B52" s="6" t="s">
        <v>111</v>
      </c>
      <c r="C52" s="21" t="n">
        <f aca="false">Modelo!J55</f>
        <v>566.358943875234</v>
      </c>
      <c r="D52" s="22" t="n">
        <f aca="false">Modelo!J55/Hipotesis!$C$6-1</f>
        <v>0.388134666360868</v>
      </c>
    </row>
    <row r="53" customFormat="false" ht="23.25" hidden="false" customHeight="true" outlineLevel="0" collapsed="false">
      <c r="B53" s="6" t="s">
        <v>112</v>
      </c>
      <c r="C53" s="21" t="n">
        <f aca="false">Modelo!J56</f>
        <v>464.064198712724</v>
      </c>
      <c r="D53" s="22" t="n">
        <f aca="false">Modelo!J56/Hipotesis!$C$6-1</f>
        <v>0.137412251746872</v>
      </c>
    </row>
    <row r="54" customFormat="false" ht="23.25" hidden="false" customHeight="true" outlineLevel="0" collapsed="false">
      <c r="B54" s="6" t="s">
        <v>113</v>
      </c>
      <c r="C54" s="21" t="n">
        <f aca="false">Modelo!J57</f>
        <v>463.37100369171</v>
      </c>
      <c r="D54" s="22" t="n">
        <f aca="false">Modelo!J57/Hipotesis!$C$6-1</f>
        <v>0.135713244342427</v>
      </c>
    </row>
    <row r="55" customFormat="false" ht="23.25" hidden="false" customHeight="true" outlineLevel="0" collapsed="false">
      <c r="B55" s="6" t="s">
        <v>114</v>
      </c>
      <c r="C55" s="21" t="n">
        <f aca="false">Modelo!J58</f>
        <v>539.704908879099</v>
      </c>
      <c r="D55" s="22" t="n">
        <f aca="false">Modelo!J58/Hipotesis!$C$6-1</f>
        <v>0.322806149213478</v>
      </c>
    </row>
    <row r="56" customFormat="false" ht="23.25" hidden="false" customHeight="true" outlineLevel="0" collapsed="false">
      <c r="B56" s="6" t="s">
        <v>115</v>
      </c>
      <c r="C56" s="21" t="n">
        <f aca="false">Modelo!J59</f>
        <v>415.219469118518</v>
      </c>
      <c r="D56" s="22" t="n">
        <f aca="false">Modelo!J59/Hipotesis!$C$6-1</f>
        <v>0.0176947772512699</v>
      </c>
    </row>
    <row r="57" customFormat="false" ht="23.25" hidden="false" customHeight="true" outlineLevel="0" collapsed="false">
      <c r="B57" s="23" t="s">
        <v>116</v>
      </c>
      <c r="C57" s="24" t="n">
        <f aca="false">MEDIAN(C49:C56)</f>
        <v>463.717601202217</v>
      </c>
      <c r="D57" s="25" t="n">
        <f aca="false">C57/Hipotesis!$C$6-1</f>
        <v>0.13656274804465</v>
      </c>
    </row>
    <row r="58" customFormat="false" ht="23.25" hidden="false" customHeight="true" outlineLevel="0" collapsed="false">
      <c r="B58" s="6" t="s">
        <v>117</v>
      </c>
      <c r="C58" s="21" t="n">
        <f aca="false">AVERAGE(C49:C56)</f>
        <v>476.368692337507</v>
      </c>
      <c r="D58" s="22" t="n">
        <f aca="false">C58/Hipotesis!$C$6-1</f>
        <v>0.167570324356635</v>
      </c>
    </row>
    <row r="59" customFormat="false" ht="15" hidden="false" customHeight="true" outlineLevel="0" collapsed="false">
      <c r="B59" s="6" t="s">
        <v>118</v>
      </c>
      <c r="C59" s="26" t="str">
        <f aca="false">TEXT(MIN(C49:C56),"$#,##0")&amp;" – "&amp;TEXT(MAX(C49:C56),"$#,##0")</f>
        <v>$357 – $604</v>
      </c>
      <c r="D59" s="26"/>
    </row>
    <row r="61" customFormat="false" ht="19.5" hidden="false" customHeight="true" outlineLevel="0" collapsed="false">
      <c r="B61" s="4" t="s">
        <v>119</v>
      </c>
      <c r="C61" s="4"/>
      <c r="D61" s="4"/>
      <c r="E61" s="4"/>
      <c r="F61" s="4"/>
      <c r="G61" s="4"/>
      <c r="H61" s="4"/>
      <c r="I61" s="4"/>
    </row>
    <row r="62" customFormat="false" ht="23.25" hidden="false" customHeight="true" outlineLevel="0" collapsed="false">
      <c r="B62" s="5" t="s">
        <v>120</v>
      </c>
      <c r="C62" s="27" t="n">
        <f aca="false">C57</f>
        <v>463.717601202217</v>
      </c>
      <c r="D62" s="28" t="s">
        <v>121</v>
      </c>
      <c r="E62" s="29" t="n">
        <f aca="false">C57/Hipotesis!$C$6-1</f>
        <v>0.13656274804465</v>
      </c>
    </row>
    <row r="64" customFormat="false" ht="36" hidden="false" customHeight="true" outlineLevel="0" collapsed="false">
      <c r="B64" s="30" t="s">
        <v>122</v>
      </c>
      <c r="C64" s="30"/>
      <c r="D64" s="30"/>
      <c r="E64" s="30"/>
      <c r="F64" s="30"/>
      <c r="G64" s="30"/>
      <c r="H64" s="30"/>
      <c r="I64" s="30"/>
    </row>
    <row r="65" customFormat="false" ht="36" hidden="false" customHeight="true" outlineLevel="0" collapsed="false">
      <c r="B65" s="30" t="s">
        <v>123</v>
      </c>
      <c r="C65" s="30"/>
      <c r="D65" s="30"/>
      <c r="E65" s="30"/>
      <c r="F65" s="30"/>
      <c r="G65" s="30"/>
      <c r="H65" s="30"/>
      <c r="I65" s="30"/>
    </row>
    <row r="66" customFormat="false" ht="36" hidden="false" customHeight="true" outlineLevel="0" collapsed="false">
      <c r="B66" s="30" t="s">
        <v>124</v>
      </c>
      <c r="C66" s="30"/>
      <c r="D66" s="30"/>
      <c r="E66" s="30"/>
      <c r="F66" s="30"/>
      <c r="G66" s="30"/>
      <c r="H66" s="30"/>
      <c r="I66" s="30"/>
    </row>
    <row r="67" customFormat="false" ht="36" hidden="false" customHeight="true" outlineLevel="0" collapsed="false">
      <c r="B67" s="30" t="s">
        <v>125</v>
      </c>
      <c r="C67" s="30"/>
      <c r="D67" s="30"/>
      <c r="E67" s="30"/>
      <c r="F67" s="30"/>
      <c r="G67" s="30"/>
      <c r="H67" s="30"/>
      <c r="I67" s="30"/>
    </row>
    <row r="68" customFormat="false" ht="36" hidden="false" customHeight="true" outlineLevel="0" collapsed="false">
      <c r="B68" s="30" t="s">
        <v>126</v>
      </c>
      <c r="C68" s="30"/>
      <c r="D68" s="30"/>
      <c r="E68" s="30"/>
      <c r="F68" s="30"/>
      <c r="G68" s="30"/>
      <c r="H68" s="30"/>
      <c r="I68" s="30"/>
    </row>
    <row r="69" customFormat="false" ht="36" hidden="false" customHeight="true" outlineLevel="0" collapsed="false">
      <c r="B69" s="30" t="s">
        <v>127</v>
      </c>
      <c r="C69" s="30"/>
      <c r="D69" s="30"/>
      <c r="E69" s="30"/>
      <c r="F69" s="30"/>
      <c r="G69" s="30"/>
      <c r="H69" s="30"/>
      <c r="I69" s="30"/>
    </row>
    <row r="70" customFormat="false" ht="36" hidden="false" customHeight="true" outlineLevel="0" collapsed="false">
      <c r="B70" s="30" t="s">
        <v>128</v>
      </c>
      <c r="C70" s="30"/>
      <c r="D70" s="30"/>
      <c r="E70" s="30"/>
      <c r="F70" s="30"/>
      <c r="G70" s="30"/>
      <c r="H70" s="30"/>
      <c r="I70" s="30"/>
    </row>
    <row r="72" customFormat="false" ht="15" hidden="false" customHeight="true" outlineLevel="0" collapsed="false">
      <c r="B72" s="12" t="s">
        <v>129</v>
      </c>
      <c r="C72" s="12"/>
      <c r="D72" s="12"/>
      <c r="E72" s="12"/>
      <c r="F72" s="12"/>
      <c r="G72" s="12"/>
      <c r="H72" s="12"/>
      <c r="I72" s="12"/>
    </row>
  </sheetData>
  <mergeCells count="26">
    <mergeCell ref="B2:I2"/>
    <mergeCell ref="B3:I3"/>
    <mergeCell ref="B5:I5"/>
    <mergeCell ref="B17:I17"/>
    <mergeCell ref="E18:I18"/>
    <mergeCell ref="E19:I19"/>
    <mergeCell ref="E20:I20"/>
    <mergeCell ref="E21:I21"/>
    <mergeCell ref="E22:I22"/>
    <mergeCell ref="E23:I23"/>
    <mergeCell ref="E26:I26"/>
    <mergeCell ref="E27:I27"/>
    <mergeCell ref="E28:I28"/>
    <mergeCell ref="E29:I29"/>
    <mergeCell ref="B33:I33"/>
    <mergeCell ref="B47:I47"/>
    <mergeCell ref="C59:D59"/>
    <mergeCell ref="B61:I61"/>
    <mergeCell ref="B64:I64"/>
    <mergeCell ref="B65:I65"/>
    <mergeCell ref="B66:I66"/>
    <mergeCell ref="B67:I67"/>
    <mergeCell ref="B68:I68"/>
    <mergeCell ref="B69:I69"/>
    <mergeCell ref="B70:I70"/>
    <mergeCell ref="B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10" min="3" style="1" width="14"/>
  </cols>
  <sheetData>
    <row r="1" customFormat="false" ht="30" hidden="false" customHeight="true" outlineLevel="0" collapsed="false">
      <c r="B1" s="31" t="s">
        <v>130</v>
      </c>
      <c r="C1" s="31"/>
      <c r="D1" s="31"/>
      <c r="E1" s="31"/>
      <c r="F1" s="31"/>
      <c r="G1" s="31"/>
      <c r="H1" s="31"/>
      <c r="I1" s="31"/>
      <c r="J1" s="31"/>
    </row>
    <row r="2" customFormat="false" ht="15" hidden="false" customHeight="true" outlineLevel="0" collapsed="false">
      <c r="B2" s="32" t="s">
        <v>131</v>
      </c>
      <c r="C2" s="33" t="s">
        <v>132</v>
      </c>
      <c r="D2" s="34" t="s">
        <v>133</v>
      </c>
      <c r="E2" s="35" t="s">
        <v>134</v>
      </c>
      <c r="F2" s="36" t="s">
        <v>135</v>
      </c>
      <c r="G2" s="37" t="s">
        <v>136</v>
      </c>
    </row>
    <row r="4" customFormat="false" ht="21.75" hidden="false" customHeight="true" outlineLevel="0" collapsed="false">
      <c r="B4" s="38" t="s">
        <v>137</v>
      </c>
      <c r="C4" s="38"/>
      <c r="D4" s="38"/>
      <c r="E4" s="38"/>
      <c r="F4" s="38"/>
      <c r="G4" s="38"/>
      <c r="H4" s="38"/>
      <c r="I4" s="38"/>
      <c r="J4" s="38"/>
    </row>
    <row r="5" customFormat="false" ht="15" hidden="false" customHeight="true" outlineLevel="0" collapsed="false">
      <c r="B5" s="39" t="s">
        <v>138</v>
      </c>
      <c r="C5" s="39" t="s">
        <v>139</v>
      </c>
      <c r="D5" s="40" t="s">
        <v>140</v>
      </c>
      <c r="E5" s="40"/>
      <c r="F5" s="40"/>
      <c r="G5" s="40"/>
      <c r="H5" s="40"/>
      <c r="I5" s="40"/>
    </row>
    <row r="6" customFormat="false" ht="15" hidden="false" customHeight="true" outlineLevel="0" collapsed="false">
      <c r="B6" s="41" t="s">
        <v>141</v>
      </c>
      <c r="C6" s="42" t="n">
        <v>408</v>
      </c>
      <c r="D6" s="43" t="s">
        <v>142</v>
      </c>
      <c r="E6" s="43"/>
      <c r="F6" s="43"/>
      <c r="G6" s="43"/>
      <c r="H6" s="43"/>
      <c r="I6" s="43"/>
    </row>
    <row r="7" customFormat="false" ht="15" hidden="false" customHeight="true" outlineLevel="0" collapsed="false">
      <c r="B7" s="41" t="s">
        <v>143</v>
      </c>
      <c r="C7" s="44" t="n">
        <v>7445</v>
      </c>
      <c r="D7" s="43" t="s">
        <v>144</v>
      </c>
      <c r="E7" s="43"/>
      <c r="F7" s="43"/>
      <c r="G7" s="43"/>
      <c r="H7" s="43"/>
      <c r="I7" s="43"/>
    </row>
    <row r="8" customFormat="false" ht="15" hidden="false" customHeight="true" outlineLevel="0" collapsed="false">
      <c r="B8" s="41" t="s">
        <v>145</v>
      </c>
      <c r="C8" s="45" t="n">
        <v>7428.4</v>
      </c>
      <c r="D8" s="43" t="s">
        <v>146</v>
      </c>
      <c r="E8" s="43"/>
      <c r="F8" s="43"/>
      <c r="G8" s="43"/>
      <c r="H8" s="43"/>
      <c r="I8" s="43"/>
    </row>
    <row r="9" customFormat="false" ht="15" hidden="false" customHeight="true" outlineLevel="0" collapsed="false">
      <c r="B9" s="41" t="s">
        <v>147</v>
      </c>
      <c r="C9" s="46" t="n">
        <v>0.0454</v>
      </c>
      <c r="D9" s="43" t="s">
        <v>148</v>
      </c>
      <c r="E9" s="43"/>
      <c r="F9" s="43"/>
      <c r="G9" s="43"/>
      <c r="H9" s="43"/>
      <c r="I9" s="43"/>
    </row>
    <row r="10" customFormat="false" ht="15" hidden="false" customHeight="true" outlineLevel="0" collapsed="false">
      <c r="B10" s="41" t="s">
        <v>149</v>
      </c>
      <c r="C10" s="46" t="n">
        <v>0.0423</v>
      </c>
      <c r="D10" s="43" t="s">
        <v>150</v>
      </c>
      <c r="E10" s="43"/>
      <c r="F10" s="43"/>
      <c r="G10" s="43"/>
      <c r="H10" s="43"/>
      <c r="I10" s="43"/>
    </row>
    <row r="11" customFormat="false" ht="15" hidden="false" customHeight="true" outlineLevel="0" collapsed="false">
      <c r="B11" s="41" t="s">
        <v>33</v>
      </c>
      <c r="C11" s="47" t="n">
        <v>1.1</v>
      </c>
      <c r="D11" s="43" t="s">
        <v>151</v>
      </c>
      <c r="E11" s="43"/>
      <c r="F11" s="43"/>
      <c r="G11" s="43"/>
      <c r="H11" s="43"/>
      <c r="I11" s="43"/>
    </row>
    <row r="12" customFormat="false" ht="15" hidden="false" customHeight="true" outlineLevel="0" collapsed="false">
      <c r="B12" s="41" t="s">
        <v>152</v>
      </c>
      <c r="C12" s="48" t="n">
        <v>0.048</v>
      </c>
      <c r="D12" s="43" t="s">
        <v>153</v>
      </c>
      <c r="E12" s="43"/>
      <c r="F12" s="43"/>
      <c r="G12" s="43"/>
      <c r="H12" s="43"/>
      <c r="I12" s="43"/>
    </row>
    <row r="13" customFormat="false" ht="15" hidden="false" customHeight="true" outlineLevel="0" collapsed="false">
      <c r="B13" s="41" t="s">
        <v>154</v>
      </c>
      <c r="C13" s="49" t="n">
        <v>0.18</v>
      </c>
      <c r="D13" s="43" t="s">
        <v>155</v>
      </c>
      <c r="E13" s="43"/>
      <c r="F13" s="43"/>
      <c r="G13" s="43"/>
      <c r="H13" s="43"/>
      <c r="I13" s="43"/>
    </row>
    <row r="14" customFormat="false" ht="15" hidden="false" customHeight="true" outlineLevel="0" collapsed="false">
      <c r="B14" s="41" t="s">
        <v>156</v>
      </c>
      <c r="C14" s="50" t="n">
        <v>40262</v>
      </c>
      <c r="D14" s="43" t="s">
        <v>157</v>
      </c>
      <c r="E14" s="43"/>
      <c r="F14" s="43"/>
      <c r="G14" s="43"/>
      <c r="H14" s="43"/>
      <c r="I14" s="43"/>
    </row>
    <row r="15" customFormat="false" ht="15" hidden="false" customHeight="true" outlineLevel="0" collapsed="false">
      <c r="B15" s="41" t="s">
        <v>158</v>
      </c>
      <c r="C15" s="50" t="n">
        <v>78272</v>
      </c>
      <c r="D15" s="43" t="s">
        <v>159</v>
      </c>
      <c r="E15" s="43"/>
      <c r="F15" s="43"/>
      <c r="G15" s="43"/>
      <c r="H15" s="43"/>
      <c r="I15" s="43"/>
    </row>
    <row r="16" customFormat="false" ht="15" hidden="false" customHeight="true" outlineLevel="0" collapsed="false">
      <c r="B16" s="41" t="s">
        <v>160</v>
      </c>
      <c r="C16" s="50" t="n">
        <v>33683</v>
      </c>
      <c r="D16" s="43" t="s">
        <v>161</v>
      </c>
      <c r="E16" s="43"/>
      <c r="F16" s="43"/>
      <c r="G16" s="43"/>
      <c r="H16" s="43"/>
      <c r="I16" s="43"/>
    </row>
    <row r="18" customFormat="false" ht="21.75" hidden="false" customHeight="true" outlineLevel="0" collapsed="false">
      <c r="B18" s="38" t="s">
        <v>162</v>
      </c>
      <c r="C18" s="38"/>
      <c r="D18" s="38"/>
      <c r="E18" s="38"/>
    </row>
    <row r="19" customFormat="false" ht="15" hidden="false" customHeight="true" outlineLevel="0" collapsed="false">
      <c r="B19" s="41" t="s">
        <v>163</v>
      </c>
      <c r="C19" s="51" t="n">
        <f aca="false">Hipotesis!$C$9 + Hipotesis!$C$11*Hipotesis!$C$10</f>
        <v>0.09193</v>
      </c>
    </row>
    <row r="20" customFormat="false" ht="15" hidden="false" customHeight="true" outlineLevel="0" collapsed="false">
      <c r="B20" s="41" t="s">
        <v>164</v>
      </c>
      <c r="C20" s="51" t="n">
        <f aca="false">Hipotesis!$C$12 * (1 - Hipotesis!$C$13)</f>
        <v>0.03936</v>
      </c>
    </row>
    <row r="21" customFormat="false" ht="15" hidden="false" customHeight="true" outlineLevel="0" collapsed="false">
      <c r="B21" s="41" t="s">
        <v>165</v>
      </c>
      <c r="C21" s="52" t="n">
        <f aca="false">Hipotesis!$C$6 * Hipotesis!$C$8</f>
        <v>3030787.2</v>
      </c>
    </row>
    <row r="22" customFormat="false" ht="15" hidden="false" customHeight="true" outlineLevel="0" collapsed="false">
      <c r="B22" s="41" t="s">
        <v>166</v>
      </c>
      <c r="C22" s="52" t="n">
        <f aca="false">Hipotesis!$C$21 + Hipotesis!$C$14</f>
        <v>3071049.2</v>
      </c>
    </row>
    <row r="23" customFormat="false" ht="15" hidden="false" customHeight="true" outlineLevel="0" collapsed="false">
      <c r="B23" s="41" t="s">
        <v>167</v>
      </c>
      <c r="C23" s="53" t="n">
        <f aca="false">Hipotesis!$C$21 / Hipotesis!$C$22</f>
        <v>0.986889822540127</v>
      </c>
    </row>
    <row r="24" customFormat="false" ht="15" hidden="false" customHeight="true" outlineLevel="0" collapsed="false">
      <c r="B24" s="41" t="s">
        <v>168</v>
      </c>
      <c r="C24" s="53" t="n">
        <f aca="false">Hipotesis!$C$14 / Hipotesis!$C$22</f>
        <v>0.0131101774598727</v>
      </c>
    </row>
    <row r="25" customFormat="false" ht="15" hidden="false" customHeight="true" outlineLevel="0" collapsed="false">
      <c r="B25" s="41" t="s">
        <v>169</v>
      </c>
      <c r="C25" s="54" t="n">
        <f aca="false">Hipotesis!$C$23*Hipotesis!$C$19 + Hipotesis!$C$24*Hipotesis!$C$20</f>
        <v>0.0912407979709345</v>
      </c>
    </row>
    <row r="28" customFormat="false" ht="21.75" hidden="false" customHeight="true" outlineLevel="0" collapsed="false">
      <c r="B28" s="38" t="s">
        <v>170</v>
      </c>
      <c r="C28" s="38"/>
      <c r="D28" s="38"/>
      <c r="E28" s="38"/>
      <c r="F28" s="38"/>
      <c r="G28" s="38"/>
      <c r="H28" s="38"/>
      <c r="I28" s="38"/>
      <c r="J28" s="38"/>
    </row>
    <row r="29" customFormat="false" ht="15" hidden="false" customHeight="true" outlineLevel="0" collapsed="false">
      <c r="B29" s="39" t="s">
        <v>171</v>
      </c>
      <c r="C29" s="55" t="s">
        <v>172</v>
      </c>
      <c r="D29" s="55" t="s">
        <v>173</v>
      </c>
      <c r="E29" s="55" t="s">
        <v>174</v>
      </c>
      <c r="F29" s="55" t="s">
        <v>175</v>
      </c>
      <c r="G29" s="55" t="s">
        <v>176</v>
      </c>
      <c r="H29" s="55" t="s">
        <v>177</v>
      </c>
    </row>
    <row r="30" customFormat="false" ht="54.75" hidden="false" customHeight="true" outlineLevel="0" collapsed="false">
      <c r="B30" s="41" t="s">
        <v>178</v>
      </c>
      <c r="C30" s="56" t="n">
        <v>0.142</v>
      </c>
      <c r="D30" s="56" t="n">
        <v>0.13</v>
      </c>
      <c r="E30" s="56" t="n">
        <v>0.115</v>
      </c>
      <c r="F30" s="56" t="n">
        <v>0.1</v>
      </c>
      <c r="G30" s="56" t="n">
        <v>0.09</v>
      </c>
      <c r="H30" s="49" t="n">
        <v>0.045</v>
      </c>
      <c r="J30" s="57" t="s">
        <v>179</v>
      </c>
    </row>
    <row r="31" customFormat="false" ht="63.75" hidden="false" customHeight="true" outlineLevel="0" collapsed="false">
      <c r="B31" s="41" t="s">
        <v>180</v>
      </c>
      <c r="C31" s="56" t="n">
        <v>0.225</v>
      </c>
      <c r="D31" s="56" t="n">
        <v>0.25</v>
      </c>
      <c r="E31" s="56" t="n">
        <v>0.22</v>
      </c>
      <c r="F31" s="56" t="n">
        <v>0.18</v>
      </c>
      <c r="G31" s="56" t="n">
        <v>0.14</v>
      </c>
      <c r="H31" s="49" t="n">
        <v>0.045</v>
      </c>
      <c r="J31" s="57" t="s">
        <v>181</v>
      </c>
    </row>
    <row r="32" customFormat="false" ht="45.75" hidden="false" customHeight="true" outlineLevel="0" collapsed="false">
      <c r="B32" s="41" t="s">
        <v>182</v>
      </c>
      <c r="C32" s="56" t="n">
        <v>0.02</v>
      </c>
      <c r="D32" s="56" t="n">
        <v>0.04</v>
      </c>
      <c r="E32" s="56" t="n">
        <v>0.04</v>
      </c>
      <c r="F32" s="56" t="n">
        <v>0.035</v>
      </c>
      <c r="G32" s="56" t="n">
        <v>0.03</v>
      </c>
      <c r="H32" s="49" t="n">
        <v>0.03</v>
      </c>
      <c r="J32" s="57" t="s">
        <v>183</v>
      </c>
    </row>
    <row r="33" customFormat="false" ht="54.75" hidden="false" customHeight="true" outlineLevel="0" collapsed="false">
      <c r="B33" s="41" t="s">
        <v>184</v>
      </c>
      <c r="C33" s="56" t="n">
        <v>0.575</v>
      </c>
      <c r="D33" s="56" t="n">
        <v>0.58</v>
      </c>
      <c r="E33" s="56" t="n">
        <v>0.58</v>
      </c>
      <c r="F33" s="56" t="n">
        <v>0.585</v>
      </c>
      <c r="G33" s="56" t="n">
        <v>0.585</v>
      </c>
      <c r="H33" s="49" t="n">
        <v>0.585</v>
      </c>
      <c r="J33" s="57" t="s">
        <v>185</v>
      </c>
    </row>
    <row r="34" customFormat="false" ht="45.75" hidden="false" customHeight="true" outlineLevel="0" collapsed="false">
      <c r="B34" s="41" t="s">
        <v>186</v>
      </c>
      <c r="C34" s="56" t="n">
        <v>0.39</v>
      </c>
      <c r="D34" s="56" t="n">
        <v>0.38</v>
      </c>
      <c r="E34" s="56" t="n">
        <v>0.385</v>
      </c>
      <c r="F34" s="56" t="n">
        <v>0.395</v>
      </c>
      <c r="G34" s="56" t="n">
        <v>0.405</v>
      </c>
      <c r="H34" s="49" t="n">
        <v>0.415</v>
      </c>
      <c r="J34" s="57" t="s">
        <v>187</v>
      </c>
    </row>
    <row r="35" customFormat="false" ht="45.75" hidden="false" customHeight="true" outlineLevel="0" collapsed="false">
      <c r="B35" s="41" t="s">
        <v>188</v>
      </c>
      <c r="C35" s="56" t="n">
        <v>0.275</v>
      </c>
      <c r="D35" s="56" t="n">
        <v>0.27</v>
      </c>
      <c r="E35" s="56" t="n">
        <v>0.27</v>
      </c>
      <c r="F35" s="56" t="n">
        <v>0.27</v>
      </c>
      <c r="G35" s="56" t="n">
        <v>0.27</v>
      </c>
      <c r="H35" s="49" t="n">
        <v>0.27</v>
      </c>
      <c r="J35" s="57" t="s">
        <v>189</v>
      </c>
    </row>
    <row r="37" customFormat="false" ht="21.75" hidden="false" customHeight="true" outlineLevel="0" collapsed="false">
      <c r="B37" s="38" t="s">
        <v>190</v>
      </c>
      <c r="C37" s="38"/>
      <c r="D37" s="38"/>
      <c r="E37" s="38"/>
      <c r="F37" s="38"/>
      <c r="G37" s="38"/>
      <c r="H37" s="38"/>
      <c r="I37" s="38"/>
      <c r="J37" s="38"/>
    </row>
    <row r="38" customFormat="false" ht="15" hidden="false" customHeight="true" outlineLevel="0" collapsed="false">
      <c r="B38" s="58" t="s">
        <v>191</v>
      </c>
      <c r="C38" s="55" t="s">
        <v>172</v>
      </c>
      <c r="D38" s="55" t="s">
        <v>173</v>
      </c>
      <c r="E38" s="55" t="s">
        <v>174</v>
      </c>
      <c r="F38" s="55" t="s">
        <v>175</v>
      </c>
      <c r="G38" s="55" t="s">
        <v>176</v>
      </c>
      <c r="H38" s="55" t="s">
        <v>177</v>
      </c>
    </row>
    <row r="39" customFormat="false" ht="63.75" hidden="false" customHeight="true" outlineLevel="0" collapsed="false">
      <c r="B39" s="41" t="s">
        <v>192</v>
      </c>
      <c r="C39" s="56" t="n">
        <v>0.33</v>
      </c>
      <c r="D39" s="56" t="n">
        <v>0.29</v>
      </c>
      <c r="E39" s="56" t="n">
        <v>0.235</v>
      </c>
      <c r="F39" s="56" t="n">
        <v>0.2</v>
      </c>
      <c r="G39" s="56" t="n">
        <v>0.175</v>
      </c>
      <c r="H39" s="56" t="n">
        <v>0.15</v>
      </c>
      <c r="J39" s="57" t="s">
        <v>193</v>
      </c>
    </row>
    <row r="40" customFormat="false" ht="45.75" hidden="false" customHeight="true" outlineLevel="0" collapsed="false">
      <c r="B40" s="41" t="s">
        <v>194</v>
      </c>
      <c r="C40" s="56" t="n">
        <v>0.117</v>
      </c>
      <c r="D40" s="56" t="n">
        <v>0.135</v>
      </c>
      <c r="E40" s="56" t="n">
        <v>0.15</v>
      </c>
      <c r="F40" s="56" t="n">
        <v>0.15</v>
      </c>
      <c r="G40" s="56" t="n">
        <v>0.145</v>
      </c>
      <c r="H40" s="56" t="n">
        <v>0.14</v>
      </c>
      <c r="J40" s="57" t="s">
        <v>195</v>
      </c>
    </row>
    <row r="41" customFormat="false" ht="36.75" hidden="false" customHeight="true" outlineLevel="0" collapsed="false">
      <c r="B41" s="41" t="s">
        <v>196</v>
      </c>
      <c r="C41" s="49" t="n">
        <v>0.04</v>
      </c>
      <c r="D41" s="49" t="n">
        <v>0.04</v>
      </c>
      <c r="E41" s="49" t="n">
        <v>0.04</v>
      </c>
      <c r="F41" s="49" t="n">
        <v>0.04</v>
      </c>
      <c r="G41" s="49" t="n">
        <v>0.04</v>
      </c>
      <c r="H41" s="49" t="n">
        <v>0.04</v>
      </c>
      <c r="J41" s="57" t="s">
        <v>197</v>
      </c>
    </row>
    <row r="42" customFormat="false" ht="45.75" hidden="false" customHeight="true" outlineLevel="0" collapsed="false">
      <c r="B42" s="41" t="s">
        <v>198</v>
      </c>
      <c r="C42" s="49" t="n">
        <v>-0.005</v>
      </c>
      <c r="D42" s="49" t="n">
        <v>-0.005</v>
      </c>
      <c r="E42" s="49" t="n">
        <v>0</v>
      </c>
      <c r="F42" s="49" t="n">
        <v>0</v>
      </c>
      <c r="G42" s="49" t="n">
        <v>0</v>
      </c>
      <c r="H42" s="49" t="n">
        <v>0</v>
      </c>
      <c r="J42" s="57" t="s">
        <v>199</v>
      </c>
    </row>
    <row r="43" customFormat="false" ht="45.75" hidden="false" customHeight="true" outlineLevel="0" collapsed="false">
      <c r="B43" s="41" t="s">
        <v>200</v>
      </c>
      <c r="C43" s="49" t="n">
        <v>0.3</v>
      </c>
      <c r="D43" s="49" t="n">
        <v>0.35</v>
      </c>
      <c r="E43" s="49" t="n">
        <v>0.45</v>
      </c>
      <c r="F43" s="49" t="n">
        <v>0.5</v>
      </c>
      <c r="G43" s="49" t="n">
        <v>0.55</v>
      </c>
      <c r="H43" s="49" t="n">
        <v>0.5</v>
      </c>
      <c r="J43" s="57" t="s">
        <v>201</v>
      </c>
    </row>
    <row r="45" customFormat="false" ht="21.75" hidden="false" customHeight="true" outlineLevel="0" collapsed="false">
      <c r="B45" s="38" t="s">
        <v>202</v>
      </c>
      <c r="C45" s="38"/>
      <c r="D45" s="38"/>
      <c r="E45" s="38"/>
      <c r="F45" s="38"/>
      <c r="G45" s="38"/>
      <c r="H45" s="38"/>
      <c r="I45" s="38"/>
      <c r="J45" s="38"/>
    </row>
    <row r="46" customFormat="false" ht="15" hidden="false" customHeight="true" outlineLevel="0" collapsed="false">
      <c r="B46" s="39" t="s">
        <v>138</v>
      </c>
      <c r="C46" s="39" t="s">
        <v>139</v>
      </c>
      <c r="D46" s="40" t="s">
        <v>203</v>
      </c>
      <c r="E46" s="40"/>
      <c r="F46" s="40"/>
      <c r="G46" s="40"/>
      <c r="H46" s="40"/>
      <c r="I46" s="40"/>
    </row>
    <row r="47" customFormat="false" ht="15" hidden="false" customHeight="true" outlineLevel="0" collapsed="false">
      <c r="B47" s="41" t="s">
        <v>204</v>
      </c>
      <c r="C47" s="56" t="n">
        <v>0.03</v>
      </c>
      <c r="D47" s="43" t="s">
        <v>205</v>
      </c>
      <c r="E47" s="43"/>
      <c r="F47" s="43"/>
      <c r="G47" s="43"/>
      <c r="H47" s="43"/>
      <c r="I47" s="43"/>
    </row>
    <row r="48" customFormat="false" ht="15" hidden="false" customHeight="true" outlineLevel="0" collapsed="false">
      <c r="B48" s="41" t="s">
        <v>206</v>
      </c>
      <c r="C48" s="59" t="n">
        <v>5</v>
      </c>
      <c r="D48" s="43" t="s">
        <v>207</v>
      </c>
      <c r="E48" s="43"/>
      <c r="F48" s="43"/>
      <c r="G48" s="43"/>
      <c r="H48" s="43"/>
      <c r="I48" s="43"/>
    </row>
    <row r="49" customFormat="false" ht="15" hidden="false" customHeight="true" outlineLevel="0" collapsed="false">
      <c r="B49" s="41" t="s">
        <v>208</v>
      </c>
      <c r="C49" s="56" t="n">
        <v>0.15</v>
      </c>
      <c r="D49" s="43" t="s">
        <v>209</v>
      </c>
      <c r="E49" s="43"/>
      <c r="F49" s="43"/>
      <c r="G49" s="43"/>
      <c r="H49" s="43"/>
      <c r="I49" s="43"/>
    </row>
    <row r="50" customFormat="false" ht="15" hidden="false" customHeight="true" outlineLevel="0" collapsed="false">
      <c r="B50" s="41" t="s">
        <v>210</v>
      </c>
      <c r="C50" s="60" t="n">
        <v>18</v>
      </c>
      <c r="D50" s="43" t="s">
        <v>211</v>
      </c>
      <c r="E50" s="43"/>
      <c r="F50" s="43"/>
      <c r="G50" s="43"/>
      <c r="H50" s="43"/>
      <c r="I50" s="43"/>
    </row>
    <row r="51" customFormat="false" ht="15" hidden="false" customHeight="true" outlineLevel="0" collapsed="false">
      <c r="B51" s="41" t="s">
        <v>212</v>
      </c>
      <c r="C51" s="60" t="n">
        <v>22</v>
      </c>
      <c r="D51" s="43" t="s">
        <v>213</v>
      </c>
      <c r="E51" s="43"/>
      <c r="F51" s="43"/>
      <c r="G51" s="43"/>
      <c r="H51" s="43"/>
      <c r="I51" s="43"/>
    </row>
    <row r="52" customFormat="false" ht="15" hidden="false" customHeight="true" outlineLevel="0" collapsed="false">
      <c r="B52" s="41" t="s">
        <v>214</v>
      </c>
      <c r="C52" s="61" t="n">
        <v>8</v>
      </c>
      <c r="D52" s="43" t="s">
        <v>215</v>
      </c>
      <c r="E52" s="43"/>
      <c r="F52" s="43"/>
      <c r="G52" s="43"/>
      <c r="H52" s="43"/>
      <c r="I52" s="43"/>
    </row>
    <row r="53" customFormat="false" ht="15" hidden="false" customHeight="true" outlineLevel="0" collapsed="false">
      <c r="B53" s="41" t="s">
        <v>216</v>
      </c>
      <c r="C53" s="61" t="n">
        <v>25</v>
      </c>
      <c r="D53" s="43" t="s">
        <v>217</v>
      </c>
      <c r="E53" s="43"/>
      <c r="F53" s="43"/>
      <c r="G53" s="43"/>
      <c r="H53" s="43"/>
      <c r="I53" s="43"/>
    </row>
    <row r="54" customFormat="false" ht="15" hidden="false" customHeight="true" outlineLevel="0" collapsed="false">
      <c r="B54" s="41" t="s">
        <v>218</v>
      </c>
      <c r="C54" s="56" t="n">
        <v>0.75</v>
      </c>
      <c r="D54" s="43" t="s">
        <v>219</v>
      </c>
      <c r="E54" s="43"/>
      <c r="F54" s="43"/>
      <c r="G54" s="43"/>
      <c r="H54" s="43"/>
      <c r="I54" s="43"/>
    </row>
    <row r="56" customFormat="false" ht="21.75" hidden="false" customHeight="true" outlineLevel="0" collapsed="false">
      <c r="B56" s="38" t="s">
        <v>220</v>
      </c>
      <c r="C56" s="38"/>
      <c r="D56" s="38"/>
      <c r="E56" s="38"/>
      <c r="F56" s="38"/>
      <c r="G56" s="38"/>
      <c r="H56" s="38"/>
      <c r="I56" s="38"/>
      <c r="J56" s="38"/>
    </row>
    <row r="57" customFormat="false" ht="15" hidden="false" customHeight="true" outlineLevel="0" collapsed="false">
      <c r="B57" s="41" t="s">
        <v>221</v>
      </c>
      <c r="C57" s="50" t="n">
        <v>13000</v>
      </c>
      <c r="D57" s="43" t="s">
        <v>222</v>
      </c>
      <c r="E57" s="43"/>
      <c r="F57" s="43"/>
      <c r="G57" s="43"/>
      <c r="H57" s="43"/>
      <c r="I57" s="43"/>
    </row>
    <row r="58" customFormat="false" ht="15" hidden="false" customHeight="true" outlineLevel="0" collapsed="false">
      <c r="B58" s="41" t="s">
        <v>223</v>
      </c>
      <c r="C58" s="49" t="n">
        <v>0.27</v>
      </c>
      <c r="D58" s="43" t="s">
        <v>224</v>
      </c>
      <c r="E58" s="43"/>
      <c r="F58" s="43"/>
      <c r="G58" s="43"/>
      <c r="H58" s="43"/>
      <c r="I58" s="43"/>
    </row>
    <row r="59" customFormat="false" ht="15" hidden="false" customHeight="true" outlineLevel="0" collapsed="false">
      <c r="B59" s="41" t="s">
        <v>225</v>
      </c>
      <c r="C59" s="50" t="n">
        <v>33683</v>
      </c>
      <c r="D59" s="43" t="s">
        <v>226</v>
      </c>
      <c r="E59" s="43"/>
      <c r="F59" s="43"/>
      <c r="G59" s="43"/>
      <c r="H59" s="43"/>
      <c r="I59" s="43"/>
    </row>
  </sheetData>
  <mergeCells count="31">
    <mergeCell ref="B1:J1"/>
    <mergeCell ref="B4:J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B18:E18"/>
    <mergeCell ref="B28:J28"/>
    <mergeCell ref="B37:J37"/>
    <mergeCell ref="B45:J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B56:J56"/>
    <mergeCell ref="D57:I57"/>
    <mergeCell ref="D58:I58"/>
    <mergeCell ref="D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9" min="9" style="1" width="55"/>
  </cols>
  <sheetData>
    <row r="1" customFormat="false" ht="21.75" hidden="false" customHeight="true" outlineLevel="0" collapsed="false">
      <c r="B1" s="62" t="s">
        <v>227</v>
      </c>
      <c r="C1" s="62"/>
      <c r="D1" s="62"/>
      <c r="E1" s="62"/>
      <c r="F1" s="62"/>
      <c r="G1" s="62"/>
      <c r="H1" s="62"/>
      <c r="I1" s="62"/>
    </row>
    <row r="2" customFormat="false" ht="15" hidden="false" customHeight="true" outlineLevel="0" collapsed="false">
      <c r="B2" s="63" t="s">
        <v>131</v>
      </c>
      <c r="C2" s="64" t="s">
        <v>132</v>
      </c>
      <c r="D2" s="28" t="s">
        <v>228</v>
      </c>
      <c r="E2" s="65" t="s">
        <v>229</v>
      </c>
    </row>
    <row r="4" customFormat="false" ht="15" hidden="false" customHeight="true" outlineLevel="0" collapsed="false">
      <c r="B4" s="66" t="s">
        <v>230</v>
      </c>
      <c r="C4" s="67" t="s">
        <v>231</v>
      </c>
      <c r="D4" s="67" t="s">
        <v>232</v>
      </c>
      <c r="E4" s="67" t="s">
        <v>233</v>
      </c>
      <c r="F4" s="67" t="s">
        <v>234</v>
      </c>
      <c r="G4" s="67" t="s">
        <v>235</v>
      </c>
      <c r="H4" s="67" t="s">
        <v>236</v>
      </c>
    </row>
    <row r="5" customFormat="false" ht="18" hidden="false" customHeight="true" outlineLevel="0" collapsed="false">
      <c r="B5" s="68" t="s">
        <v>237</v>
      </c>
      <c r="C5" s="68"/>
      <c r="D5" s="68"/>
      <c r="E5" s="68"/>
      <c r="F5" s="68"/>
      <c r="G5" s="68"/>
      <c r="H5" s="68"/>
      <c r="I5" s="68"/>
    </row>
    <row r="6" customFormat="false" ht="15" hidden="false" customHeight="true" outlineLevel="0" collapsed="false">
      <c r="B6" s="69" t="s">
        <v>238</v>
      </c>
      <c r="C6" s="70" t="n">
        <v>168088</v>
      </c>
      <c r="D6" s="70" t="n">
        <v>198270</v>
      </c>
      <c r="E6" s="70" t="n">
        <v>211915</v>
      </c>
      <c r="F6" s="70" t="n">
        <v>245122</v>
      </c>
      <c r="G6" s="70" t="n">
        <v>281724</v>
      </c>
      <c r="H6" s="70" t="n">
        <v>241832</v>
      </c>
      <c r="I6" s="71" t="s">
        <v>239</v>
      </c>
    </row>
    <row r="7" customFormat="false" ht="15" hidden="false" customHeight="true" outlineLevel="0" collapsed="false">
      <c r="B7" s="72" t="s">
        <v>240</v>
      </c>
      <c r="C7" s="73" t="s">
        <v>241</v>
      </c>
      <c r="D7" s="74" t="n">
        <f aca="false">D6/C6-1</f>
        <v>0.179560706296702</v>
      </c>
      <c r="E7" s="74" t="n">
        <f aca="false">E6/D6-1</f>
        <v>0.0688202955565642</v>
      </c>
      <c r="F7" s="74" t="n">
        <f aca="false">F6/E6-1</f>
        <v>0.156699620130713</v>
      </c>
      <c r="G7" s="74" t="n">
        <f aca="false">G6/F6-1</f>
        <v>0.149321562324067</v>
      </c>
      <c r="H7" s="73" t="s">
        <v>242</v>
      </c>
      <c r="I7" s="71" t="s">
        <v>243</v>
      </c>
    </row>
    <row r="8" customFormat="false" ht="15" hidden="false" customHeight="true" outlineLevel="0" collapsed="false">
      <c r="B8" s="69" t="s">
        <v>244</v>
      </c>
      <c r="C8" s="70" t="n">
        <v>52232</v>
      </c>
      <c r="D8" s="70" t="n">
        <v>62650</v>
      </c>
      <c r="E8" s="70" t="n">
        <v>65863</v>
      </c>
      <c r="F8" s="70" t="n">
        <v>74114</v>
      </c>
      <c r="G8" s="70" t="n">
        <v>87831</v>
      </c>
      <c r="H8" s="70" t="n">
        <v>76849</v>
      </c>
    </row>
    <row r="9" customFormat="false" ht="15" hidden="false" customHeight="true" outlineLevel="0" collapsed="false">
      <c r="B9" s="72" t="s">
        <v>245</v>
      </c>
      <c r="C9" s="74" t="n">
        <f aca="false">C8/C6</f>
        <v>0.310741992289753</v>
      </c>
      <c r="D9" s="74" t="n">
        <f aca="false">D8/D6</f>
        <v>0.315983255157109</v>
      </c>
      <c r="E9" s="74" t="n">
        <f aca="false">E8/E6</f>
        <v>0.31079914116509</v>
      </c>
      <c r="F9" s="74" t="n">
        <f aca="false">F8/F6</f>
        <v>0.302355561720286</v>
      </c>
      <c r="G9" s="74" t="n">
        <f aca="false">G8/G6</f>
        <v>0.311762576138348</v>
      </c>
      <c r="H9" s="74" t="n">
        <f aca="false">H8/H6</f>
        <v>0.317778457772338</v>
      </c>
      <c r="I9" s="71" t="s">
        <v>246</v>
      </c>
    </row>
    <row r="10" customFormat="false" ht="15" hidden="false" customHeight="true" outlineLevel="0" collapsed="false">
      <c r="B10" s="63" t="s">
        <v>247</v>
      </c>
      <c r="C10" s="70" t="n">
        <v>115856</v>
      </c>
      <c r="D10" s="70" t="n">
        <v>135620</v>
      </c>
      <c r="E10" s="70" t="n">
        <v>146052</v>
      </c>
      <c r="F10" s="70" t="n">
        <v>171008</v>
      </c>
      <c r="G10" s="70" t="n">
        <v>193893</v>
      </c>
      <c r="H10" s="70" t="n">
        <v>164983</v>
      </c>
    </row>
    <row r="11" customFormat="false" ht="15" hidden="false" customHeight="true" outlineLevel="0" collapsed="false">
      <c r="B11" s="72" t="s">
        <v>248</v>
      </c>
      <c r="C11" s="74" t="n">
        <f aca="false">C10/C6</f>
        <v>0.689258007710247</v>
      </c>
      <c r="D11" s="74" t="n">
        <f aca="false">D10/D6</f>
        <v>0.684016744842891</v>
      </c>
      <c r="E11" s="74" t="n">
        <f aca="false">E10/E6</f>
        <v>0.68920085883491</v>
      </c>
      <c r="F11" s="74" t="n">
        <f aca="false">F10/F6</f>
        <v>0.697644438279714</v>
      </c>
      <c r="G11" s="74" t="n">
        <f aca="false">G10/G6</f>
        <v>0.688237423861652</v>
      </c>
      <c r="H11" s="74" t="n">
        <f aca="false">H10/H6</f>
        <v>0.682221542227662</v>
      </c>
      <c r="I11" s="71" t="s">
        <v>249</v>
      </c>
    </row>
    <row r="12" customFormat="false" ht="15" hidden="false" customHeight="true" outlineLevel="0" collapsed="false">
      <c r="B12" s="69" t="s">
        <v>250</v>
      </c>
      <c r="C12" s="70" t="n">
        <v>20716</v>
      </c>
      <c r="D12" s="70" t="n">
        <v>24512</v>
      </c>
      <c r="E12" s="70" t="n">
        <v>27195</v>
      </c>
      <c r="F12" s="70" t="n">
        <v>29510</v>
      </c>
      <c r="G12" s="70" t="n">
        <v>32488</v>
      </c>
      <c r="H12" s="70" t="n">
        <v>25565</v>
      </c>
    </row>
    <row r="13" customFormat="false" ht="15" hidden="false" customHeight="true" outlineLevel="0" collapsed="false">
      <c r="B13" s="72" t="s">
        <v>251</v>
      </c>
      <c r="C13" s="74" t="n">
        <f aca="false">C12/C6</f>
        <v>0.123244966922088</v>
      </c>
      <c r="D13" s="74" t="n">
        <f aca="false">D12/D6</f>
        <v>0.123629394260352</v>
      </c>
      <c r="E13" s="74" t="n">
        <f aca="false">E12/E6</f>
        <v>0.128329754854541</v>
      </c>
      <c r="F13" s="74" t="n">
        <f aca="false">F12/F6</f>
        <v>0.120389030768352</v>
      </c>
      <c r="G13" s="74" t="n">
        <f aca="false">G12/G6</f>
        <v>0.115318538711647</v>
      </c>
      <c r="H13" s="74" t="n">
        <f aca="false">H12/H6</f>
        <v>0.105713884018658</v>
      </c>
      <c r="I13" s="71" t="s">
        <v>252</v>
      </c>
    </row>
    <row r="14" customFormat="false" ht="15" hidden="false" customHeight="true" outlineLevel="0" collapsed="false">
      <c r="B14" s="69" t="s">
        <v>253</v>
      </c>
      <c r="C14" s="70" t="n">
        <v>20117</v>
      </c>
      <c r="D14" s="70" t="n">
        <v>21825</v>
      </c>
      <c r="E14" s="70" t="n">
        <v>22759</v>
      </c>
      <c r="F14" s="70" t="n">
        <v>24456</v>
      </c>
      <c r="G14" s="70" t="n">
        <v>25654</v>
      </c>
      <c r="H14" s="70" t="n">
        <v>19115</v>
      </c>
    </row>
    <row r="15" customFormat="false" ht="15" hidden="false" customHeight="true" outlineLevel="0" collapsed="false">
      <c r="B15" s="72" t="s">
        <v>254</v>
      </c>
      <c r="C15" s="74" t="n">
        <f aca="false">C14/C6</f>
        <v>0.119681357384227</v>
      </c>
      <c r="D15" s="74" t="n">
        <f aca="false">D14/D6</f>
        <v>0.110077167498865</v>
      </c>
      <c r="E15" s="74" t="n">
        <f aca="false">E14/E6</f>
        <v>0.107396833636128</v>
      </c>
      <c r="F15" s="74" t="n">
        <f aca="false">F14/F6</f>
        <v>0.0997707264137858</v>
      </c>
      <c r="G15" s="74" t="n">
        <f aca="false">G14/G6</f>
        <v>0.0910607544973094</v>
      </c>
      <c r="H15" s="74" t="n">
        <f aca="false">H14/H6</f>
        <v>0.079042475768302</v>
      </c>
      <c r="I15" s="71" t="s">
        <v>255</v>
      </c>
    </row>
    <row r="16" customFormat="false" ht="15" hidden="false" customHeight="true" outlineLevel="0" collapsed="false">
      <c r="B16" s="69" t="s">
        <v>256</v>
      </c>
      <c r="C16" s="70" t="n">
        <v>5107</v>
      </c>
      <c r="D16" s="70" t="n">
        <v>5900</v>
      </c>
      <c r="E16" s="70" t="n">
        <v>7575</v>
      </c>
      <c r="F16" s="70" t="n">
        <v>7609</v>
      </c>
      <c r="G16" s="70" t="n">
        <v>7223</v>
      </c>
      <c r="H16" s="70" t="n">
        <v>5669</v>
      </c>
    </row>
    <row r="17" customFormat="false" ht="15" hidden="false" customHeight="true" outlineLevel="0" collapsed="false">
      <c r="B17" s="72" t="s">
        <v>257</v>
      </c>
      <c r="C17" s="74" t="n">
        <f aca="false">C16/C6</f>
        <v>0.0303828946742183</v>
      </c>
      <c r="D17" s="74" t="n">
        <f aca="false">D16/D6</f>
        <v>0.0297574015231755</v>
      </c>
      <c r="E17" s="74" t="n">
        <f aca="false">E16/E6</f>
        <v>0.0357454639832008</v>
      </c>
      <c r="F17" s="74" t="n">
        <f aca="false">F16/F6</f>
        <v>0.0310416853648387</v>
      </c>
      <c r="G17" s="74" t="n">
        <f aca="false">G16/G6</f>
        <v>0.0256385682440971</v>
      </c>
      <c r="H17" s="74" t="n">
        <f aca="false">H16/H6</f>
        <v>0.0234418935459327</v>
      </c>
      <c r="I17" s="71" t="s">
        <v>258</v>
      </c>
    </row>
    <row r="18" customFormat="false" ht="15" hidden="false" customHeight="true" outlineLevel="0" collapsed="false">
      <c r="B18" s="63" t="s">
        <v>259</v>
      </c>
      <c r="C18" s="70" t="n">
        <v>69916</v>
      </c>
      <c r="D18" s="70" t="n">
        <v>83383</v>
      </c>
      <c r="E18" s="70" t="n">
        <v>88523</v>
      </c>
      <c r="F18" s="70" t="n">
        <v>109433</v>
      </c>
      <c r="G18" s="70" t="n">
        <v>128528</v>
      </c>
      <c r="H18" s="70" t="n">
        <v>114634</v>
      </c>
    </row>
    <row r="19" customFormat="false" ht="15" hidden="false" customHeight="true" outlineLevel="0" collapsed="false">
      <c r="B19" s="72" t="s">
        <v>260</v>
      </c>
      <c r="C19" s="74" t="n">
        <f aca="false">C18/C6</f>
        <v>0.415948788729713</v>
      </c>
      <c r="D19" s="74" t="n">
        <f aca="false">D18/D6</f>
        <v>0.420552781560498</v>
      </c>
      <c r="E19" s="74" t="n">
        <f aca="false">E18/E6</f>
        <v>0.417728806361041</v>
      </c>
      <c r="F19" s="74" t="n">
        <f aca="false">F18/F6</f>
        <v>0.446442995732737</v>
      </c>
      <c r="G19" s="74" t="n">
        <f aca="false">G18/G6</f>
        <v>0.456219562408599</v>
      </c>
      <c r="H19" s="74" t="n">
        <f aca="false">H18/H6</f>
        <v>0.47402328889477</v>
      </c>
      <c r="I19" s="71" t="s">
        <v>261</v>
      </c>
    </row>
    <row r="20" customFormat="false" ht="15" hidden="false" customHeight="true" outlineLevel="0" collapsed="false">
      <c r="B20" s="72" t="s">
        <v>262</v>
      </c>
      <c r="C20" s="73" t="s">
        <v>241</v>
      </c>
      <c r="D20" s="74" t="n">
        <f aca="false">D18/C18-1</f>
        <v>0.192616854511128</v>
      </c>
      <c r="E20" s="74" t="n">
        <f aca="false">E18/D18-1</f>
        <v>0.0616432606166724</v>
      </c>
      <c r="F20" s="74" t="n">
        <f aca="false">F18/E18-1</f>
        <v>0.236209798583419</v>
      </c>
      <c r="G20" s="74" t="n">
        <f aca="false">G18/F18-1</f>
        <v>0.174490327414948</v>
      </c>
      <c r="H20" s="73" t="s">
        <v>242</v>
      </c>
    </row>
    <row r="21" customFormat="false" ht="15" hidden="false" customHeight="true" outlineLevel="0" collapsed="false">
      <c r="B21" s="69" t="s">
        <v>263</v>
      </c>
      <c r="C21" s="70" t="n">
        <v>1186</v>
      </c>
      <c r="D21" s="70" t="n">
        <v>333</v>
      </c>
      <c r="E21" s="70" t="n">
        <v>788</v>
      </c>
      <c r="F21" s="70" t="n">
        <v>-1646</v>
      </c>
      <c r="G21" s="70" t="n">
        <v>-4901</v>
      </c>
      <c r="H21" s="70" t="n">
        <v>7253</v>
      </c>
    </row>
    <row r="22" customFormat="false" ht="15" hidden="false" customHeight="true" outlineLevel="0" collapsed="false">
      <c r="B22" s="63" t="s">
        <v>264</v>
      </c>
      <c r="C22" s="70" t="n">
        <v>71102</v>
      </c>
      <c r="D22" s="70" t="n">
        <v>83716</v>
      </c>
      <c r="E22" s="70" t="n">
        <v>89311</v>
      </c>
      <c r="F22" s="70" t="n">
        <v>107787</v>
      </c>
      <c r="G22" s="70" t="n">
        <v>123627</v>
      </c>
      <c r="H22" s="70" t="n">
        <v>121887</v>
      </c>
    </row>
    <row r="23" customFormat="false" ht="15" hidden="false" customHeight="true" outlineLevel="0" collapsed="false">
      <c r="B23" s="69" t="s">
        <v>265</v>
      </c>
      <c r="C23" s="70" t="n">
        <v>9831</v>
      </c>
      <c r="D23" s="70" t="n">
        <v>10978</v>
      </c>
      <c r="E23" s="70" t="n">
        <v>16950</v>
      </c>
      <c r="F23" s="70" t="n">
        <v>19651</v>
      </c>
      <c r="G23" s="70" t="n">
        <v>21795</v>
      </c>
      <c r="H23" s="70" t="n">
        <v>23904</v>
      </c>
    </row>
    <row r="24" customFormat="false" ht="15" hidden="false" customHeight="true" outlineLevel="0" collapsed="false">
      <c r="B24" s="72" t="s">
        <v>266</v>
      </c>
      <c r="C24" s="74" t="n">
        <f aca="false">C23/C22</f>
        <v>0.138266152850834</v>
      </c>
      <c r="D24" s="74" t="n">
        <f aca="false">D23/D22</f>
        <v>0.131133833436858</v>
      </c>
      <c r="E24" s="74" t="n">
        <f aca="false">E23/E22</f>
        <v>0.189786252533283</v>
      </c>
      <c r="F24" s="74" t="n">
        <f aca="false">F23/F22</f>
        <v>0.182313265978272</v>
      </c>
      <c r="G24" s="74" t="n">
        <f aca="false">G23/G22</f>
        <v>0.176296440098037</v>
      </c>
      <c r="H24" s="74" t="n">
        <f aca="false">H23/H22</f>
        <v>0.19611607472495</v>
      </c>
      <c r="I24" s="71" t="s">
        <v>267</v>
      </c>
    </row>
    <row r="25" customFormat="false" ht="15" hidden="false" customHeight="true" outlineLevel="0" collapsed="false">
      <c r="B25" s="63" t="s">
        <v>268</v>
      </c>
      <c r="C25" s="70" t="n">
        <v>61271</v>
      </c>
      <c r="D25" s="70" t="n">
        <v>72738</v>
      </c>
      <c r="E25" s="70" t="n">
        <v>72361</v>
      </c>
      <c r="F25" s="70" t="n">
        <v>88136</v>
      </c>
      <c r="G25" s="70" t="n">
        <v>101832</v>
      </c>
      <c r="H25" s="70" t="n">
        <v>97983</v>
      </c>
    </row>
    <row r="26" customFormat="false" ht="15" hidden="false" customHeight="true" outlineLevel="0" collapsed="false">
      <c r="B26" s="72" t="s">
        <v>269</v>
      </c>
      <c r="C26" s="74" t="n">
        <f aca="false">C25/C6</f>
        <v>0.364517395649898</v>
      </c>
      <c r="D26" s="74" t="n">
        <f aca="false">D25/D6</f>
        <v>0.366863368134362</v>
      </c>
      <c r="E26" s="74" t="n">
        <f aca="false">E25/E6</f>
        <v>0.341462378783946</v>
      </c>
      <c r="F26" s="74" t="n">
        <f aca="false">F25/F6</f>
        <v>0.35955972944085</v>
      </c>
      <c r="G26" s="74" t="n">
        <f aca="false">G25/G6</f>
        <v>0.361460152489671</v>
      </c>
      <c r="H26" s="74" t="n">
        <f aca="false">H25/H6</f>
        <v>0.405169704588309</v>
      </c>
      <c r="I26" s="71" t="s">
        <v>270</v>
      </c>
    </row>
    <row r="27" customFormat="false" ht="15" hidden="false" customHeight="true" outlineLevel="0" collapsed="false">
      <c r="B27" s="72" t="s">
        <v>271</v>
      </c>
      <c r="C27" s="73" t="s">
        <v>241</v>
      </c>
      <c r="D27" s="74" t="n">
        <f aca="false">D25/C25-1</f>
        <v>0.187152160075729</v>
      </c>
      <c r="E27" s="74" t="n">
        <f aca="false">E25/D25-1</f>
        <v>-0.00518298550963736</v>
      </c>
      <c r="F27" s="74" t="n">
        <f aca="false">F25/E25-1</f>
        <v>0.218004173518884</v>
      </c>
      <c r="G27" s="74" t="n">
        <f aca="false">G25/F25-1</f>
        <v>0.155396205863665</v>
      </c>
      <c r="H27" s="73" t="s">
        <v>242</v>
      </c>
    </row>
    <row r="28" customFormat="false" ht="15" hidden="false" customHeight="true" outlineLevel="0" collapsed="false">
      <c r="B28" s="69" t="s">
        <v>272</v>
      </c>
      <c r="C28" s="75" t="n">
        <v>8.05</v>
      </c>
      <c r="D28" s="75" t="n">
        <v>9.65</v>
      </c>
      <c r="E28" s="75" t="n">
        <v>9.68</v>
      </c>
      <c r="F28" s="75" t="n">
        <v>11.8</v>
      </c>
      <c r="G28" s="75" t="n">
        <v>13.64</v>
      </c>
      <c r="H28" s="75" t="n">
        <v>13.14</v>
      </c>
    </row>
    <row r="29" customFormat="false" ht="15" hidden="false" customHeight="true" outlineLevel="0" collapsed="false">
      <c r="B29" s="72" t="s">
        <v>273</v>
      </c>
      <c r="C29" s="73" t="s">
        <v>241</v>
      </c>
      <c r="D29" s="74" t="n">
        <f aca="false">D28/C28-1</f>
        <v>0.198757763975155</v>
      </c>
      <c r="E29" s="74" t="n">
        <f aca="false">E28/D28-1</f>
        <v>0.00310880829015536</v>
      </c>
      <c r="F29" s="74" t="n">
        <f aca="false">F28/E28-1</f>
        <v>0.21900826446281</v>
      </c>
      <c r="G29" s="74" t="n">
        <f aca="false">G28/F28-1</f>
        <v>0.155932203389831</v>
      </c>
      <c r="H29" s="73" t="s">
        <v>242</v>
      </c>
      <c r="I29" s="71" t="s">
        <v>274</v>
      </c>
    </row>
    <row r="30" customFormat="false" ht="15" hidden="false" customHeight="true" outlineLevel="0" collapsed="false">
      <c r="B30" s="69" t="s">
        <v>275</v>
      </c>
      <c r="C30" s="76" t="n">
        <v>7608</v>
      </c>
      <c r="D30" s="76" t="n">
        <v>7540</v>
      </c>
      <c r="E30" s="76" t="n">
        <v>7472</v>
      </c>
      <c r="F30" s="76" t="n">
        <v>7469</v>
      </c>
      <c r="G30" s="76" t="n">
        <v>7465</v>
      </c>
      <c r="H30" s="76" t="n">
        <v>7457</v>
      </c>
    </row>
    <row r="32" customFormat="false" ht="18" hidden="false" customHeight="true" outlineLevel="0" collapsed="false">
      <c r="B32" s="68" t="s">
        <v>276</v>
      </c>
      <c r="C32" s="68"/>
      <c r="D32" s="68"/>
      <c r="E32" s="68"/>
      <c r="F32" s="68"/>
      <c r="G32" s="68"/>
      <c r="H32" s="68"/>
      <c r="I32" s="68"/>
    </row>
    <row r="33" customFormat="false" ht="15" hidden="false" customHeight="true" outlineLevel="0" collapsed="false">
      <c r="B33" s="69" t="s">
        <v>277</v>
      </c>
      <c r="C33" s="70" t="n">
        <v>76740</v>
      </c>
      <c r="D33" s="70" t="n">
        <v>89035</v>
      </c>
      <c r="E33" s="70" t="n">
        <v>87582</v>
      </c>
      <c r="F33" s="70" t="n">
        <v>118548</v>
      </c>
      <c r="G33" s="70" t="n">
        <v>136162</v>
      </c>
      <c r="H33" s="70" t="n">
        <v>127494</v>
      </c>
      <c r="I33" s="71" t="s">
        <v>278</v>
      </c>
    </row>
    <row r="34" customFormat="false" ht="15" hidden="false" customHeight="true" outlineLevel="0" collapsed="false">
      <c r="B34" s="72" t="s">
        <v>279</v>
      </c>
      <c r="C34" s="74" t="n">
        <f aca="false">C33/C6</f>
        <v>0.456546570843844</v>
      </c>
      <c r="D34" s="74" t="n">
        <f aca="false">D33/D6</f>
        <v>0.449059363494225</v>
      </c>
      <c r="E34" s="74" t="n">
        <f aca="false">E33/E6</f>
        <v>0.413288346742798</v>
      </c>
      <c r="F34" s="74" t="n">
        <f aca="false">F33/F6</f>
        <v>0.483628560471928</v>
      </c>
      <c r="G34" s="74" t="n">
        <f aca="false">G33/G6</f>
        <v>0.483317005295963</v>
      </c>
      <c r="H34" s="74" t="n">
        <f aca="false">H33/H6</f>
        <v>0.527200701313308</v>
      </c>
      <c r="I34" s="71" t="s">
        <v>280</v>
      </c>
    </row>
    <row r="35" customFormat="false" ht="15" hidden="false" customHeight="true" outlineLevel="0" collapsed="false">
      <c r="B35" s="72" t="s">
        <v>281</v>
      </c>
      <c r="C35" s="73" t="s">
        <v>241</v>
      </c>
      <c r="D35" s="74" t="n">
        <f aca="false">D33/C33-1</f>
        <v>0.160216314829294</v>
      </c>
      <c r="E35" s="74" t="n">
        <f aca="false">E33/D33-1</f>
        <v>-0.0163194249452463</v>
      </c>
      <c r="F35" s="74" t="n">
        <f aca="false">F33/E33-1</f>
        <v>0.353565801192026</v>
      </c>
      <c r="G35" s="74" t="n">
        <f aca="false">G33/F33-1</f>
        <v>0.148581165435098</v>
      </c>
      <c r="H35" s="73" t="s">
        <v>242</v>
      </c>
    </row>
    <row r="36" customFormat="false" ht="15" hidden="false" customHeight="true" outlineLevel="0" collapsed="false">
      <c r="B36" s="69" t="s">
        <v>282</v>
      </c>
      <c r="C36" s="70" t="n">
        <v>20622</v>
      </c>
      <c r="D36" s="70" t="n">
        <v>23886</v>
      </c>
      <c r="E36" s="70" t="n">
        <v>28107</v>
      </c>
      <c r="F36" s="70" t="n">
        <v>44477</v>
      </c>
      <c r="G36" s="70" t="n">
        <v>64551</v>
      </c>
      <c r="H36" s="70" t="n">
        <v>80146</v>
      </c>
    </row>
    <row r="37" customFormat="false" ht="15" hidden="false" customHeight="true" outlineLevel="0" collapsed="false">
      <c r="B37" s="72" t="s">
        <v>283</v>
      </c>
      <c r="C37" s="74" t="n">
        <f aca="false">C36/C6</f>
        <v>0.122685736043025</v>
      </c>
      <c r="D37" s="74" t="n">
        <f aca="false">D36/D6</f>
        <v>0.120472083522469</v>
      </c>
      <c r="E37" s="74" t="n">
        <f aca="false">E36/E6</f>
        <v>0.132633367151924</v>
      </c>
      <c r="F37" s="74" t="n">
        <f aca="false">F36/F6</f>
        <v>0.181448421602304</v>
      </c>
      <c r="G37" s="74" t="n">
        <f aca="false">G36/G6</f>
        <v>0.229128508753248</v>
      </c>
      <c r="H37" s="74" t="n">
        <f aca="false">H36/H6</f>
        <v>0.331411889245427</v>
      </c>
      <c r="I37" s="71" t="s">
        <v>284</v>
      </c>
    </row>
    <row r="38" customFormat="false" ht="15" hidden="false" customHeight="true" outlineLevel="0" collapsed="false">
      <c r="B38" s="72" t="s">
        <v>285</v>
      </c>
      <c r="C38" s="73" t="s">
        <v>241</v>
      </c>
      <c r="D38" s="74" t="n">
        <f aca="false">D36/C36-1</f>
        <v>0.158277567646203</v>
      </c>
      <c r="E38" s="74" t="n">
        <f aca="false">E36/D36-1</f>
        <v>0.1767143933685</v>
      </c>
      <c r="F38" s="74" t="n">
        <f aca="false">F36/E36-1</f>
        <v>0.582417191446971</v>
      </c>
      <c r="G38" s="74" t="n">
        <f aca="false">G36/F36-1</f>
        <v>0.451334397553792</v>
      </c>
      <c r="H38" s="73" t="s">
        <v>242</v>
      </c>
      <c r="I38" s="71" t="s">
        <v>286</v>
      </c>
    </row>
    <row r="39" customFormat="false" ht="15" hidden="false" customHeight="true" outlineLevel="0" collapsed="false">
      <c r="B39" s="63" t="s">
        <v>287</v>
      </c>
      <c r="C39" s="70" t="n">
        <v>56118</v>
      </c>
      <c r="D39" s="70" t="n">
        <v>65149</v>
      </c>
      <c r="E39" s="70" t="n">
        <v>59475</v>
      </c>
      <c r="F39" s="70" t="n">
        <v>74071</v>
      </c>
      <c r="G39" s="70" t="n">
        <v>71611</v>
      </c>
      <c r="H39" s="70" t="n">
        <v>47348</v>
      </c>
    </row>
    <row r="40" customFormat="false" ht="15" hidden="false" customHeight="true" outlineLevel="0" collapsed="false">
      <c r="B40" s="72" t="s">
        <v>288</v>
      </c>
      <c r="C40" s="74" t="n">
        <f aca="false">C39/C6</f>
        <v>0.333860834800819</v>
      </c>
      <c r="D40" s="74" t="n">
        <f aca="false">D39/D6</f>
        <v>0.328587279971756</v>
      </c>
      <c r="E40" s="74" t="n">
        <f aca="false">E39/E6</f>
        <v>0.280654979590874</v>
      </c>
      <c r="F40" s="74" t="n">
        <f aca="false">F39/F6</f>
        <v>0.302180138869624</v>
      </c>
      <c r="G40" s="74" t="n">
        <f aca="false">G39/G6</f>
        <v>0.254188496542716</v>
      </c>
      <c r="H40" s="74" t="n">
        <f aca="false">H39/H6</f>
        <v>0.195788812067882</v>
      </c>
      <c r="I40" s="71" t="s">
        <v>289</v>
      </c>
    </row>
    <row r="41" customFormat="false" ht="15" hidden="false" customHeight="true" outlineLevel="0" collapsed="false">
      <c r="B41" s="72" t="s">
        <v>290</v>
      </c>
      <c r="C41" s="74" t="n">
        <f aca="false">C39/C25</f>
        <v>0.915898222650193</v>
      </c>
      <c r="D41" s="74" t="n">
        <f aca="false">D39/D25</f>
        <v>0.895666639170722</v>
      </c>
      <c r="E41" s="74" t="n">
        <f aca="false">E39/E25</f>
        <v>0.821920647862799</v>
      </c>
      <c r="F41" s="74" t="n">
        <f aca="false">F39/F25</f>
        <v>0.840417082690388</v>
      </c>
      <c r="G41" s="74" t="n">
        <f aca="false">G39/G25</f>
        <v>0.703226883494383</v>
      </c>
      <c r="H41" s="74" t="n">
        <f aca="false">H39/H25</f>
        <v>0.483226682179562</v>
      </c>
      <c r="I41" s="71" t="s">
        <v>291</v>
      </c>
    </row>
    <row r="42" customFormat="false" ht="15" hidden="false" customHeight="true" outlineLevel="0" collapsed="false">
      <c r="B42" s="72" t="s">
        <v>292</v>
      </c>
      <c r="C42" s="73" t="s">
        <v>241</v>
      </c>
      <c r="D42" s="74" t="n">
        <f aca="false">D39/C39-1</f>
        <v>0.160928757261485</v>
      </c>
      <c r="E42" s="74" t="n">
        <f aca="false">E39/D39-1</f>
        <v>-0.0870926645075135</v>
      </c>
      <c r="F42" s="74" t="n">
        <f aca="false">F39/E39-1</f>
        <v>0.2454140395124</v>
      </c>
      <c r="G42" s="74" t="n">
        <f aca="false">G39/F39-1</f>
        <v>-0.0332113782721983</v>
      </c>
      <c r="H42" s="73" t="s">
        <v>242</v>
      </c>
    </row>
    <row r="43" customFormat="false" ht="15" hidden="false" customHeight="true" outlineLevel="0" collapsed="false">
      <c r="B43" s="69" t="s">
        <v>293</v>
      </c>
      <c r="C43" s="70" t="n">
        <v>11686</v>
      </c>
      <c r="D43" s="70" t="n">
        <v>14460</v>
      </c>
      <c r="E43" s="70" t="n">
        <v>13861</v>
      </c>
      <c r="F43" s="70" t="n">
        <v>22287</v>
      </c>
      <c r="G43" s="70" t="n">
        <v>34153</v>
      </c>
      <c r="H43" s="70" t="n">
        <v>27512</v>
      </c>
    </row>
    <row r="44" customFormat="false" ht="15" hidden="false" customHeight="true" outlineLevel="0" collapsed="false">
      <c r="B44" s="72" t="s">
        <v>294</v>
      </c>
      <c r="C44" s="74" t="n">
        <f aca="false">C43/C6</f>
        <v>0.0695231069439817</v>
      </c>
      <c r="D44" s="74" t="n">
        <f aca="false">D43/D6</f>
        <v>0.0729308518686639</v>
      </c>
      <c r="E44" s="74" t="n">
        <f aca="false">E43/E6</f>
        <v>0.0654083004978411</v>
      </c>
      <c r="F44" s="74" t="n">
        <f aca="false">F43/F6</f>
        <v>0.0909220714582942</v>
      </c>
      <c r="G44" s="74" t="n">
        <f aca="false">G43/G6</f>
        <v>0.121228578324885</v>
      </c>
      <c r="H44" s="74" t="n">
        <f aca="false">H43/H6</f>
        <v>0.113764927718416</v>
      </c>
      <c r="I44" s="71" t="s">
        <v>295</v>
      </c>
    </row>
    <row r="45" customFormat="false" ht="15" hidden="false" customHeight="true" outlineLevel="0" collapsed="false">
      <c r="B45" s="69" t="s">
        <v>296</v>
      </c>
      <c r="C45" s="70" t="n">
        <v>6118</v>
      </c>
      <c r="D45" s="70" t="n">
        <v>7502</v>
      </c>
      <c r="E45" s="70" t="n">
        <v>9611</v>
      </c>
      <c r="F45" s="70" t="n">
        <v>10734</v>
      </c>
      <c r="G45" s="70" t="n">
        <v>11974</v>
      </c>
      <c r="H45" s="70" t="n">
        <v>9283</v>
      </c>
    </row>
    <row r="46" customFormat="false" ht="15" hidden="false" customHeight="true" outlineLevel="0" collapsed="false">
      <c r="B46" s="72" t="s">
        <v>297</v>
      </c>
      <c r="C46" s="74" t="n">
        <f aca="false">C45/C6</f>
        <v>0.0363976012564847</v>
      </c>
      <c r="D46" s="74" t="n">
        <f aca="false">D45/D6</f>
        <v>0.0378372925808241</v>
      </c>
      <c r="E46" s="74" t="n">
        <f aca="false">E45/E6</f>
        <v>0.0453530896821839</v>
      </c>
      <c r="F46" s="74" t="n">
        <f aca="false">F45/F6</f>
        <v>0.0437904390466788</v>
      </c>
      <c r="G46" s="74" t="n">
        <f aca="false">G45/G6</f>
        <v>0.0425025911885391</v>
      </c>
      <c r="H46" s="74" t="n">
        <f aca="false">H45/H6</f>
        <v>0.0383861523702405</v>
      </c>
      <c r="I46" s="71" t="s">
        <v>298</v>
      </c>
    </row>
    <row r="47" customFormat="false" ht="15" hidden="false" customHeight="true" outlineLevel="0" collapsed="false">
      <c r="B47" s="69" t="s">
        <v>299</v>
      </c>
      <c r="C47" s="70" t="n">
        <v>16521</v>
      </c>
      <c r="D47" s="70" t="n">
        <v>18552</v>
      </c>
      <c r="E47" s="70" t="n">
        <v>19800</v>
      </c>
      <c r="F47" s="70" t="n">
        <v>21771</v>
      </c>
      <c r="G47" s="70" t="n">
        <v>24082</v>
      </c>
      <c r="H47" s="70" t="n">
        <v>19687</v>
      </c>
    </row>
    <row r="48" customFormat="false" ht="15" hidden="false" customHeight="true" outlineLevel="0" collapsed="false">
      <c r="B48" s="69" t="s">
        <v>300</v>
      </c>
      <c r="C48" s="70" t="n">
        <v>27385</v>
      </c>
      <c r="D48" s="70" t="n">
        <v>32696</v>
      </c>
      <c r="E48" s="70" t="n">
        <v>22245</v>
      </c>
      <c r="F48" s="70" t="n">
        <v>17254</v>
      </c>
      <c r="G48" s="70" t="n">
        <v>18420</v>
      </c>
      <c r="H48" s="70" t="n">
        <v>17692</v>
      </c>
    </row>
    <row r="49" customFormat="false" ht="15" hidden="false" customHeight="true" outlineLevel="0" collapsed="false">
      <c r="B49" s="63" t="s">
        <v>301</v>
      </c>
      <c r="C49" s="77" t="n">
        <f aca="false">C47+C48</f>
        <v>43906</v>
      </c>
      <c r="D49" s="77" t="n">
        <f aca="false">D47+D48</f>
        <v>51248</v>
      </c>
      <c r="E49" s="77" t="n">
        <f aca="false">E47+E48</f>
        <v>42045</v>
      </c>
      <c r="F49" s="77" t="n">
        <f aca="false">F47+F48</f>
        <v>39025</v>
      </c>
      <c r="G49" s="77" t="n">
        <f aca="false">G47+G48</f>
        <v>42502</v>
      </c>
      <c r="H49" s="77" t="n">
        <f aca="false">H47+H48</f>
        <v>37379</v>
      </c>
    </row>
    <row r="50" customFormat="false" ht="15" hidden="false" customHeight="true" outlineLevel="0" collapsed="false">
      <c r="B50" s="72" t="s">
        <v>302</v>
      </c>
      <c r="C50" s="74" t="n">
        <f aca="false">C49/C39</f>
        <v>0.782387112869311</v>
      </c>
      <c r="D50" s="74" t="n">
        <f aca="false">D49/D39</f>
        <v>0.786627576785522</v>
      </c>
      <c r="E50" s="74" t="n">
        <f aca="false">E49/E39</f>
        <v>0.706935687263556</v>
      </c>
      <c r="F50" s="74" t="n">
        <f aca="false">F49/F39</f>
        <v>0.526859364663634</v>
      </c>
      <c r="G50" s="74" t="n">
        <f aca="false">G49/G39</f>
        <v>0.593512169918029</v>
      </c>
      <c r="H50" s="74" t="n">
        <f aca="false">H49/H39</f>
        <v>0.789452563994255</v>
      </c>
      <c r="I50" s="71" t="s">
        <v>303</v>
      </c>
    </row>
    <row r="52" customFormat="false" ht="18" hidden="false" customHeight="true" outlineLevel="0" collapsed="false">
      <c r="B52" s="68" t="s">
        <v>304</v>
      </c>
      <c r="C52" s="68"/>
      <c r="D52" s="68"/>
      <c r="E52" s="68"/>
      <c r="F52" s="68"/>
      <c r="G52" s="68"/>
      <c r="H52" s="68"/>
      <c r="I52" s="68"/>
    </row>
    <row r="53" customFormat="false" ht="15" hidden="false" customHeight="true" outlineLevel="0" collapsed="false">
      <c r="B53" s="69" t="s">
        <v>305</v>
      </c>
      <c r="C53" s="70" t="n">
        <v>130334</v>
      </c>
      <c r="D53" s="70" t="n">
        <v>104757</v>
      </c>
      <c r="E53" s="70" t="n">
        <v>111262</v>
      </c>
      <c r="F53" s="70" t="n">
        <v>75531</v>
      </c>
      <c r="G53" s="70" t="n">
        <v>94565</v>
      </c>
      <c r="H53" s="70" t="n">
        <v>78272</v>
      </c>
    </row>
    <row r="54" customFormat="false" ht="15" hidden="false" customHeight="true" outlineLevel="0" collapsed="false">
      <c r="B54" s="69" t="s">
        <v>306</v>
      </c>
      <c r="C54" s="70" t="n">
        <v>6047</v>
      </c>
      <c r="D54" s="70" t="n">
        <v>6891</v>
      </c>
      <c r="E54" s="70" t="n">
        <v>9879</v>
      </c>
      <c r="F54" s="70" t="n">
        <v>14600</v>
      </c>
      <c r="G54" s="70" t="n">
        <v>15405</v>
      </c>
      <c r="H54" s="70" t="n">
        <v>33683</v>
      </c>
    </row>
    <row r="55" customFormat="false" ht="15" hidden="false" customHeight="true" outlineLevel="0" collapsed="false">
      <c r="B55" s="69" t="s">
        <v>307</v>
      </c>
      <c r="C55" s="70" t="n">
        <v>38043</v>
      </c>
      <c r="D55" s="70" t="n">
        <v>44261</v>
      </c>
      <c r="E55" s="70" t="n">
        <v>48688</v>
      </c>
      <c r="F55" s="70" t="n">
        <v>56924</v>
      </c>
      <c r="G55" s="70" t="n">
        <v>69905</v>
      </c>
      <c r="H55" s="70" t="n">
        <v>60041</v>
      </c>
    </row>
    <row r="56" customFormat="false" ht="15" hidden="false" customHeight="true" outlineLevel="0" collapsed="false">
      <c r="B56" s="69" t="s">
        <v>308</v>
      </c>
      <c r="C56" s="70" t="n">
        <v>59715</v>
      </c>
      <c r="D56" s="70" t="n">
        <v>74398</v>
      </c>
      <c r="E56" s="70" t="n">
        <v>95641</v>
      </c>
      <c r="F56" s="70" t="n">
        <v>135591</v>
      </c>
      <c r="G56" s="70" t="n">
        <v>204966</v>
      </c>
      <c r="H56" s="70" t="n">
        <v>283228</v>
      </c>
    </row>
    <row r="57" customFormat="false" ht="15" hidden="false" customHeight="true" outlineLevel="0" collapsed="false">
      <c r="B57" s="69" t="s">
        <v>309</v>
      </c>
      <c r="C57" s="70" t="n">
        <v>60195</v>
      </c>
      <c r="D57" s="70" t="n">
        <v>78215</v>
      </c>
      <c r="E57" s="70" t="n">
        <v>78169</v>
      </c>
      <c r="F57" s="70" t="n">
        <v>146817</v>
      </c>
      <c r="G57" s="70" t="n">
        <v>142113</v>
      </c>
      <c r="H57" s="70" t="n">
        <v>138986</v>
      </c>
    </row>
    <row r="58" customFormat="false" ht="15" hidden="false" customHeight="true" outlineLevel="0" collapsed="false">
      <c r="B58" s="63" t="s">
        <v>310</v>
      </c>
      <c r="C58" s="70" t="n">
        <v>333779</v>
      </c>
      <c r="D58" s="70" t="n">
        <v>364840</v>
      </c>
      <c r="E58" s="70" t="n">
        <v>411976</v>
      </c>
      <c r="F58" s="70" t="n">
        <v>512163</v>
      </c>
      <c r="G58" s="70" t="n">
        <v>619003</v>
      </c>
      <c r="H58" s="70" t="n">
        <v>694228</v>
      </c>
    </row>
    <row r="59" customFormat="false" ht="15" hidden="false" customHeight="true" outlineLevel="0" collapsed="false">
      <c r="B59" s="69" t="s">
        <v>311</v>
      </c>
      <c r="C59" s="70" t="n">
        <v>58146</v>
      </c>
      <c r="D59" s="70" t="n">
        <v>49781</v>
      </c>
      <c r="E59" s="70" t="n">
        <v>47237</v>
      </c>
      <c r="F59" s="70" t="n">
        <v>44937</v>
      </c>
      <c r="G59" s="70" t="n">
        <v>43151</v>
      </c>
      <c r="H59" s="70" t="n">
        <v>40262</v>
      </c>
    </row>
    <row r="60" customFormat="false" ht="15" hidden="false" customHeight="true" outlineLevel="0" collapsed="false">
      <c r="B60" s="63" t="s">
        <v>312</v>
      </c>
      <c r="C60" s="70" t="n">
        <v>141988</v>
      </c>
      <c r="D60" s="70" t="n">
        <v>166542</v>
      </c>
      <c r="E60" s="70" t="n">
        <v>206223</v>
      </c>
      <c r="F60" s="70" t="n">
        <v>268477</v>
      </c>
      <c r="G60" s="70" t="n">
        <v>343479</v>
      </c>
      <c r="H60" s="70" t="n">
        <v>414367</v>
      </c>
    </row>
    <row r="61" customFormat="false" ht="15" hidden="false" customHeight="true" outlineLevel="0" collapsed="false">
      <c r="B61" s="69" t="s">
        <v>313</v>
      </c>
      <c r="C61" s="70" t="n">
        <v>83111</v>
      </c>
      <c r="D61" s="70" t="n">
        <v>86939</v>
      </c>
      <c r="E61" s="70" t="n">
        <v>93718</v>
      </c>
      <c r="F61" s="70" t="n">
        <v>100923</v>
      </c>
      <c r="G61" s="70" t="n">
        <v>109095</v>
      </c>
      <c r="H61" s="70" t="n">
        <v>115069</v>
      </c>
    </row>
    <row r="62" customFormat="false" ht="15" hidden="false" customHeight="true" outlineLevel="0" collapsed="false">
      <c r="B62" s="69" t="s">
        <v>314</v>
      </c>
      <c r="C62" s="70" t="n">
        <v>57055</v>
      </c>
      <c r="D62" s="70" t="n">
        <v>84281</v>
      </c>
      <c r="E62" s="70" t="n">
        <v>118848</v>
      </c>
      <c r="F62" s="70" t="n">
        <v>173144</v>
      </c>
      <c r="G62" s="70" t="n">
        <v>237731</v>
      </c>
      <c r="H62" s="70" t="n">
        <v>302526</v>
      </c>
    </row>
    <row r="63" customFormat="false" ht="15" hidden="false" customHeight="true" outlineLevel="0" collapsed="false">
      <c r="B63" s="69" t="s">
        <v>315</v>
      </c>
      <c r="C63" s="70" t="n">
        <v>47961</v>
      </c>
      <c r="D63" s="70" t="n">
        <v>48408</v>
      </c>
      <c r="E63" s="70" t="n">
        <v>53813</v>
      </c>
      <c r="F63" s="70" t="n">
        <v>60188</v>
      </c>
      <c r="G63" s="70" t="n">
        <v>67265</v>
      </c>
      <c r="H63" s="70" t="n">
        <v>53677</v>
      </c>
    </row>
    <row r="64" customFormat="false" ht="15" hidden="false" customHeight="true" outlineLevel="0" collapsed="false">
      <c r="B64" s="69" t="s">
        <v>316</v>
      </c>
      <c r="C64" s="78" t="s">
        <v>317</v>
      </c>
      <c r="D64" s="78" t="s">
        <v>317</v>
      </c>
      <c r="E64" s="78" t="s">
        <v>317</v>
      </c>
      <c r="F64" s="78" t="s">
        <v>317</v>
      </c>
      <c r="G64" s="78" t="s">
        <v>318</v>
      </c>
      <c r="H64" s="70" t="n">
        <v>627</v>
      </c>
    </row>
    <row r="66" customFormat="false" ht="15" hidden="false" customHeight="true" outlineLevel="0" collapsed="false">
      <c r="B66" s="79" t="s">
        <v>319</v>
      </c>
      <c r="C66" s="79"/>
      <c r="D66" s="79"/>
      <c r="E66" s="79"/>
      <c r="F66" s="79"/>
      <c r="G66" s="79"/>
      <c r="H66" s="79"/>
      <c r="I66" s="79"/>
    </row>
    <row r="67" customFormat="false" ht="15" hidden="false" customHeight="true" outlineLevel="0" collapsed="false">
      <c r="B67" s="69" t="s">
        <v>320</v>
      </c>
      <c r="C67" s="80" t="n">
        <f aca="false">C53-C59</f>
        <v>72188</v>
      </c>
      <c r="D67" s="80" t="n">
        <f aca="false">D53-D59</f>
        <v>54976</v>
      </c>
      <c r="E67" s="80" t="n">
        <f aca="false">E53-E59</f>
        <v>64025</v>
      </c>
      <c r="F67" s="80" t="n">
        <f aca="false">F53-F59</f>
        <v>30594</v>
      </c>
      <c r="G67" s="80" t="n">
        <f aca="false">G53-G59</f>
        <v>51414</v>
      </c>
      <c r="H67" s="80" t="n">
        <f aca="false">H53-H59</f>
        <v>38010</v>
      </c>
    </row>
    <row r="68" customFormat="false" ht="15" hidden="false" customHeight="true" outlineLevel="0" collapsed="false">
      <c r="B68" s="72" t="s">
        <v>321</v>
      </c>
      <c r="C68" s="81" t="n">
        <f aca="false">C59/C60</f>
        <v>0.409513480012395</v>
      </c>
      <c r="D68" s="81" t="n">
        <f aca="false">D59/D60</f>
        <v>0.298909584369108</v>
      </c>
      <c r="E68" s="81" t="n">
        <f aca="false">E59/E60</f>
        <v>0.229057864544692</v>
      </c>
      <c r="F68" s="81" t="n">
        <f aca="false">F59/F60</f>
        <v>0.167377466226157</v>
      </c>
      <c r="G68" s="81" t="n">
        <f aca="false">G59/G60</f>
        <v>0.125629223329519</v>
      </c>
      <c r="H68" s="81" t="n">
        <f aca="false">H59/H60</f>
        <v>0.097165073473515</v>
      </c>
      <c r="I68" s="71" t="s">
        <v>322</v>
      </c>
    </row>
    <row r="69" customFormat="false" ht="15" hidden="false" customHeight="true" outlineLevel="0" collapsed="false">
      <c r="B69" s="72" t="s">
        <v>323</v>
      </c>
      <c r="C69" s="74" t="n">
        <f aca="false">C56/C6</f>
        <v>0.355260339821998</v>
      </c>
      <c r="D69" s="74" t="n">
        <f aca="false">D56/D6</f>
        <v>0.375235789579866</v>
      </c>
      <c r="E69" s="74" t="n">
        <f aca="false">E56/E6</f>
        <v>0.451317745322417</v>
      </c>
      <c r="F69" s="74" t="n">
        <f aca="false">F56/F6</f>
        <v>0.5531572033518</v>
      </c>
      <c r="G69" s="74" t="n">
        <f aca="false">G56/G6</f>
        <v>0.727541849469694</v>
      </c>
      <c r="H69" s="74" t="n">
        <f aca="false">H56/H6</f>
        <v>1.17117668464058</v>
      </c>
      <c r="I69" s="71" t="s">
        <v>324</v>
      </c>
    </row>
    <row r="70" customFormat="false" ht="15" hidden="false" customHeight="true" outlineLevel="0" collapsed="false">
      <c r="B70" s="72" t="s">
        <v>325</v>
      </c>
      <c r="C70" s="81" t="n">
        <f aca="false">C6/C58</f>
        <v>0.503590699235123</v>
      </c>
      <c r="D70" s="81" t="n">
        <f aca="false">D6/D58</f>
        <v>0.543443701348536</v>
      </c>
      <c r="E70" s="81" t="n">
        <f aca="false">E6/E58</f>
        <v>0.514386760393809</v>
      </c>
      <c r="F70" s="81" t="n">
        <f aca="false">F6/F58</f>
        <v>0.478601538963182</v>
      </c>
      <c r="G70" s="81" t="n">
        <f aca="false">G6/G58</f>
        <v>0.455125419424462</v>
      </c>
      <c r="H70" s="81" t="n">
        <f aca="false">H6/H58</f>
        <v>0.348346652684709</v>
      </c>
      <c r="I70" s="71" t="s">
        <v>326</v>
      </c>
    </row>
    <row r="72" customFormat="false" ht="18" hidden="false" customHeight="true" outlineLevel="0" collapsed="false">
      <c r="B72" s="68" t="s">
        <v>327</v>
      </c>
      <c r="C72" s="68"/>
      <c r="D72" s="68"/>
      <c r="E72" s="68"/>
      <c r="F72" s="68"/>
      <c r="G72" s="68"/>
      <c r="H72" s="68"/>
      <c r="I72" s="68"/>
    </row>
    <row r="73" customFormat="false" ht="15" hidden="false" customHeight="true" outlineLevel="0" collapsed="false">
      <c r="B73" s="82" t="s">
        <v>328</v>
      </c>
      <c r="C73" s="82"/>
      <c r="D73" s="82"/>
      <c r="E73" s="82"/>
      <c r="F73" s="82"/>
      <c r="G73" s="82"/>
      <c r="H73" s="82"/>
      <c r="I73" s="82"/>
    </row>
    <row r="74" customFormat="false" ht="15" hidden="false" customHeight="true" outlineLevel="0" collapsed="false">
      <c r="B74" s="69" t="s">
        <v>329</v>
      </c>
      <c r="C74" s="78" t="s">
        <v>317</v>
      </c>
      <c r="D74" s="78" t="s">
        <v>317</v>
      </c>
      <c r="E74" s="78" t="s">
        <v>317</v>
      </c>
      <c r="F74" s="70" t="n">
        <v>106820</v>
      </c>
      <c r="G74" s="70" t="n">
        <v>120810</v>
      </c>
      <c r="H74" s="78" t="s">
        <v>317</v>
      </c>
    </row>
    <row r="75" customFormat="false" ht="15" hidden="false" customHeight="true" outlineLevel="0" collapsed="false">
      <c r="B75" s="69" t="s">
        <v>330</v>
      </c>
      <c r="C75" s="78" t="s">
        <v>317</v>
      </c>
      <c r="D75" s="78" t="s">
        <v>317</v>
      </c>
      <c r="E75" s="78" t="s">
        <v>317</v>
      </c>
      <c r="F75" s="70" t="n">
        <v>87464</v>
      </c>
      <c r="G75" s="70" t="n">
        <v>106265</v>
      </c>
      <c r="H75" s="78" t="s">
        <v>317</v>
      </c>
    </row>
    <row r="76" customFormat="false" ht="15" hidden="false" customHeight="true" outlineLevel="0" collapsed="false">
      <c r="B76" s="69" t="s">
        <v>331</v>
      </c>
      <c r="C76" s="78" t="s">
        <v>317</v>
      </c>
      <c r="D76" s="78" t="s">
        <v>317</v>
      </c>
      <c r="E76" s="78" t="s">
        <v>317</v>
      </c>
      <c r="F76" s="70" t="n">
        <v>50838</v>
      </c>
      <c r="G76" s="70" t="n">
        <v>54649</v>
      </c>
      <c r="H76" s="78" t="s">
        <v>317</v>
      </c>
    </row>
    <row r="77" customFormat="false" ht="15" hidden="false" customHeight="true" outlineLevel="0" collapsed="false">
      <c r="B77" s="69" t="s">
        <v>332</v>
      </c>
      <c r="C77" s="78" t="s">
        <v>317</v>
      </c>
      <c r="D77" s="78" t="s">
        <v>317</v>
      </c>
      <c r="E77" s="78" t="s">
        <v>317</v>
      </c>
      <c r="F77" s="70" t="n">
        <v>59661</v>
      </c>
      <c r="G77" s="70" t="n">
        <v>69773</v>
      </c>
      <c r="H77" s="78" t="s">
        <v>317</v>
      </c>
    </row>
    <row r="78" customFormat="false" ht="15" hidden="false" customHeight="true" outlineLevel="0" collapsed="false">
      <c r="B78" s="69" t="s">
        <v>333</v>
      </c>
      <c r="C78" s="78" t="s">
        <v>317</v>
      </c>
      <c r="D78" s="78" t="s">
        <v>317</v>
      </c>
      <c r="E78" s="78" t="s">
        <v>317</v>
      </c>
      <c r="F78" s="70" t="n">
        <v>37813</v>
      </c>
      <c r="G78" s="70" t="n">
        <v>44589</v>
      </c>
      <c r="H78" s="78" t="s">
        <v>317</v>
      </c>
    </row>
    <row r="79" customFormat="false" ht="15" hidden="false" customHeight="true" outlineLevel="0" collapsed="false">
      <c r="B79" s="69" t="s">
        <v>334</v>
      </c>
      <c r="C79" s="78" t="s">
        <v>317</v>
      </c>
      <c r="D79" s="78" t="s">
        <v>317</v>
      </c>
      <c r="E79" s="78" t="s">
        <v>317</v>
      </c>
      <c r="F79" s="70" t="n">
        <v>11959</v>
      </c>
      <c r="G79" s="70" t="n">
        <v>14166</v>
      </c>
      <c r="H79" s="78" t="s">
        <v>317</v>
      </c>
    </row>
    <row r="81" customFormat="false" ht="15" hidden="false" customHeight="true" outlineLevel="0" collapsed="false">
      <c r="B81" s="79" t="s">
        <v>335</v>
      </c>
      <c r="C81" s="79"/>
      <c r="D81" s="79"/>
      <c r="E81" s="79"/>
      <c r="F81" s="79"/>
      <c r="G81" s="79"/>
      <c r="H81" s="79"/>
      <c r="I81" s="79"/>
    </row>
    <row r="82" customFormat="false" ht="15" hidden="false" customHeight="true" outlineLevel="0" collapsed="false">
      <c r="B82" s="72" t="s">
        <v>336</v>
      </c>
      <c r="C82" s="73" t="s">
        <v>317</v>
      </c>
      <c r="D82" s="73" t="s">
        <v>317</v>
      </c>
      <c r="E82" s="73" t="s">
        <v>317</v>
      </c>
      <c r="F82" s="74" t="n">
        <f aca="false">IFERROR(F77/F74,"n/d")</f>
        <v>0.558519003931848</v>
      </c>
      <c r="G82" s="74" t="n">
        <f aca="false">IFERROR(G77/G74,"n/d")</f>
        <v>0.577543249730983</v>
      </c>
      <c r="H82" s="73" t="s">
        <v>317</v>
      </c>
    </row>
    <row r="83" customFormat="false" ht="15" hidden="false" customHeight="true" outlineLevel="0" collapsed="false">
      <c r="B83" s="72" t="s">
        <v>337</v>
      </c>
      <c r="C83" s="73" t="s">
        <v>317</v>
      </c>
      <c r="D83" s="73" t="s">
        <v>317</v>
      </c>
      <c r="E83" s="73" t="s">
        <v>317</v>
      </c>
      <c r="F83" s="74" t="n">
        <f aca="false">IFERROR(F78/F75,"n/d")</f>
        <v>0.432326442879356</v>
      </c>
      <c r="G83" s="74" t="n">
        <f aca="false">IFERROR(G78/G75,"n/d")</f>
        <v>0.419601938549852</v>
      </c>
      <c r="H83" s="73" t="s">
        <v>317</v>
      </c>
    </row>
    <row r="84" customFormat="false" ht="15" hidden="false" customHeight="true" outlineLevel="0" collapsed="false">
      <c r="B84" s="72" t="s">
        <v>338</v>
      </c>
      <c r="C84" s="73" t="s">
        <v>317</v>
      </c>
      <c r="D84" s="73" t="s">
        <v>317</v>
      </c>
      <c r="E84" s="73" t="s">
        <v>317</v>
      </c>
      <c r="F84" s="74" t="n">
        <f aca="false">IFERROR(F79/F76,"n/d")</f>
        <v>0.235237420826941</v>
      </c>
      <c r="G84" s="74" t="n">
        <f aca="false">IFERROR(G79/G76,"n/d")</f>
        <v>0.259217917985691</v>
      </c>
      <c r="H84" s="73" t="s">
        <v>317</v>
      </c>
    </row>
    <row r="86" customFormat="false" ht="15" hidden="false" customHeight="true" outlineLevel="0" collapsed="false">
      <c r="B86" s="79" t="s">
        <v>339</v>
      </c>
      <c r="C86" s="79"/>
      <c r="D86" s="79"/>
      <c r="E86" s="79"/>
      <c r="F86" s="79"/>
      <c r="G86" s="79"/>
      <c r="H86" s="79"/>
      <c r="I86" s="79"/>
    </row>
    <row r="87" customFormat="false" ht="15" hidden="false" customHeight="true" outlineLevel="0" collapsed="false">
      <c r="B87" s="72" t="s">
        <v>340</v>
      </c>
      <c r="C87" s="73" t="s">
        <v>317</v>
      </c>
      <c r="D87" s="73" t="s">
        <v>317</v>
      </c>
      <c r="E87" s="73" t="s">
        <v>317</v>
      </c>
      <c r="F87" s="73" t="s">
        <v>241</v>
      </c>
      <c r="G87" s="74" t="n">
        <f aca="false">IFERROR(G74/F74-1,"n/d")</f>
        <v>0.130967983523685</v>
      </c>
      <c r="H87" s="73" t="s">
        <v>242</v>
      </c>
    </row>
    <row r="88" customFormat="false" ht="15" hidden="false" customHeight="true" outlineLevel="0" collapsed="false">
      <c r="B88" s="72" t="s">
        <v>341</v>
      </c>
      <c r="C88" s="73" t="s">
        <v>317</v>
      </c>
      <c r="D88" s="73" t="s">
        <v>317</v>
      </c>
      <c r="E88" s="73" t="s">
        <v>317</v>
      </c>
      <c r="F88" s="73" t="s">
        <v>241</v>
      </c>
      <c r="G88" s="74" t="n">
        <f aca="false">IFERROR(G75/F75-1,"n/d")</f>
        <v>0.214957010884478</v>
      </c>
      <c r="H88" s="73" t="s">
        <v>242</v>
      </c>
    </row>
    <row r="89" customFormat="false" ht="15" hidden="false" customHeight="true" outlineLevel="0" collapsed="false">
      <c r="B89" s="72" t="s">
        <v>342</v>
      </c>
      <c r="C89" s="73" t="s">
        <v>317</v>
      </c>
      <c r="D89" s="73" t="s">
        <v>317</v>
      </c>
      <c r="E89" s="73" t="s">
        <v>317</v>
      </c>
      <c r="F89" s="73" t="s">
        <v>241</v>
      </c>
      <c r="G89" s="74" t="n">
        <f aca="false">IFERROR(G76/F76-1,"n/d")</f>
        <v>0.0749636098981077</v>
      </c>
      <c r="H89" s="73" t="s">
        <v>242</v>
      </c>
    </row>
    <row r="92" customFormat="false" ht="18" hidden="false" customHeight="true" outlineLevel="0" collapsed="false">
      <c r="B92" s="68" t="s">
        <v>343</v>
      </c>
      <c r="C92" s="68"/>
      <c r="D92" s="68"/>
      <c r="E92" s="68"/>
      <c r="F92" s="68"/>
      <c r="G92" s="68"/>
      <c r="H92" s="68"/>
      <c r="I92" s="68"/>
    </row>
    <row r="93" customFormat="false" ht="15" hidden="false" customHeight="true" outlineLevel="0" collapsed="false">
      <c r="B93" s="83" t="s">
        <v>344</v>
      </c>
      <c r="C93" s="83" t="s">
        <v>139</v>
      </c>
    </row>
    <row r="94" customFormat="false" ht="15" hidden="false" customHeight="true" outlineLevel="0" collapsed="false">
      <c r="B94" s="69" t="s">
        <v>345</v>
      </c>
      <c r="C94" s="84" t="s">
        <v>346</v>
      </c>
    </row>
    <row r="95" customFormat="false" ht="15" hidden="false" customHeight="true" outlineLevel="0" collapsed="false">
      <c r="B95" s="69" t="s">
        <v>347</v>
      </c>
      <c r="C95" s="84" t="s">
        <v>348</v>
      </c>
    </row>
    <row r="96" customFormat="false" ht="15" hidden="false" customHeight="true" outlineLevel="0" collapsed="false">
      <c r="B96" s="69" t="s">
        <v>349</v>
      </c>
      <c r="C96" s="84" t="s">
        <v>350</v>
      </c>
    </row>
    <row r="97" customFormat="false" ht="15" hidden="false" customHeight="true" outlineLevel="0" collapsed="false">
      <c r="B97" s="69" t="s">
        <v>351</v>
      </c>
      <c r="C97" s="84" t="s">
        <v>352</v>
      </c>
    </row>
    <row r="98" customFormat="false" ht="15" hidden="false" customHeight="true" outlineLevel="0" collapsed="false">
      <c r="B98" s="69" t="s">
        <v>353</v>
      </c>
      <c r="C98" s="84" t="s">
        <v>354</v>
      </c>
    </row>
    <row r="99" customFormat="false" ht="15" hidden="false" customHeight="true" outlineLevel="0" collapsed="false">
      <c r="B99" s="69" t="s">
        <v>355</v>
      </c>
      <c r="C99" s="84" t="s">
        <v>356</v>
      </c>
    </row>
    <row r="100" customFormat="false" ht="15" hidden="false" customHeight="true" outlineLevel="0" collapsed="false">
      <c r="B100" s="69" t="s">
        <v>357</v>
      </c>
      <c r="C100" s="84" t="s">
        <v>358</v>
      </c>
    </row>
    <row r="101" customFormat="false" ht="15" hidden="false" customHeight="true" outlineLevel="0" collapsed="false">
      <c r="B101" s="69" t="s">
        <v>359</v>
      </c>
      <c r="C101" s="84" t="s">
        <v>360</v>
      </c>
    </row>
    <row r="102" customFormat="false" ht="15" hidden="false" customHeight="true" outlineLevel="0" collapsed="false">
      <c r="B102" s="69" t="s">
        <v>361</v>
      </c>
      <c r="C102" s="84" t="s">
        <v>362</v>
      </c>
    </row>
    <row r="103" customFormat="false" ht="15" hidden="false" customHeight="true" outlineLevel="0" collapsed="false">
      <c r="B103" s="69" t="s">
        <v>363</v>
      </c>
      <c r="C103" s="84" t="s">
        <v>364</v>
      </c>
    </row>
    <row r="104" customFormat="false" ht="15" hidden="false" customHeight="true" outlineLevel="0" collapsed="false">
      <c r="B104" s="69" t="s">
        <v>365</v>
      </c>
      <c r="C104" s="84" t="s">
        <v>366</v>
      </c>
    </row>
    <row r="105" customFormat="false" ht="15" hidden="false" customHeight="true" outlineLevel="0" collapsed="false">
      <c r="B105" s="69" t="s">
        <v>367</v>
      </c>
      <c r="C105" s="84" t="s">
        <v>368</v>
      </c>
    </row>
    <row r="106" customFormat="false" ht="15" hidden="false" customHeight="true" outlineLevel="0" collapsed="false">
      <c r="B106" s="69" t="s">
        <v>369</v>
      </c>
      <c r="C106" s="84" t="s">
        <v>370</v>
      </c>
    </row>
    <row r="107" customFormat="false" ht="15" hidden="false" customHeight="true" outlineLevel="0" collapsed="false">
      <c r="B107" s="69" t="s">
        <v>371</v>
      </c>
      <c r="C107" s="84" t="s">
        <v>372</v>
      </c>
    </row>
    <row r="108" customFormat="false" ht="15" hidden="false" customHeight="true" outlineLevel="0" collapsed="false">
      <c r="B108" s="69" t="s">
        <v>373</v>
      </c>
      <c r="C108" s="84" t="s">
        <v>374</v>
      </c>
    </row>
  </sheetData>
  <mergeCells count="10">
    <mergeCell ref="B1:I1"/>
    <mergeCell ref="B5:I5"/>
    <mergeCell ref="B32:I32"/>
    <mergeCell ref="B52:I52"/>
    <mergeCell ref="B66:I66"/>
    <mergeCell ref="B72:I72"/>
    <mergeCell ref="B73:I73"/>
    <mergeCell ref="B81:I81"/>
    <mergeCell ref="B86:I86"/>
    <mergeCell ref="B92:I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8" min="3" style="1" width="13"/>
    <col collapsed="false" customWidth="true" hidden="false" outlineLevel="0" max="10" min="9" style="1" width="14"/>
    <col collapsed="false" customWidth="true" hidden="false" outlineLevel="0" max="11" min="11" style="1" width="2"/>
    <col collapsed="false" customWidth="true" hidden="false" outlineLevel="0" max="12" min="12" style="1" width="38"/>
    <col collapsed="false" customWidth="true" hidden="false" outlineLevel="0" max="18" min="13" style="1" width="12"/>
  </cols>
  <sheetData>
    <row r="1" customFormat="false" ht="21.75" hidden="false" customHeight="true" outlineLevel="0" collapsed="false">
      <c r="B1" s="62" t="s">
        <v>375</v>
      </c>
      <c r="C1" s="62"/>
      <c r="D1" s="62"/>
      <c r="E1" s="62"/>
      <c r="F1" s="62"/>
      <c r="G1" s="62"/>
      <c r="H1" s="62"/>
    </row>
    <row r="2" customFormat="false" ht="15" hidden="false" customHeight="true" outlineLevel="0" collapsed="false">
      <c r="B2" s="85" t="s">
        <v>131</v>
      </c>
      <c r="C2" s="64" t="s">
        <v>376</v>
      </c>
      <c r="D2" s="28" t="s">
        <v>377</v>
      </c>
      <c r="E2" s="65" t="s">
        <v>229</v>
      </c>
      <c r="F2" s="85" t="s">
        <v>378</v>
      </c>
      <c r="G2" s="85" t="s">
        <v>177</v>
      </c>
    </row>
    <row r="4" customFormat="false" ht="15" hidden="false" customHeight="true" outlineLevel="0" collapsed="false">
      <c r="B4" s="86" t="s">
        <v>230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176</v>
      </c>
      <c r="H4" s="67" t="s">
        <v>177</v>
      </c>
    </row>
    <row r="5" customFormat="false" ht="15" hidden="false" customHeight="true" outlineLevel="0" collapsed="false">
      <c r="L5" s="79" t="s">
        <v>379</v>
      </c>
      <c r="M5" s="79"/>
      <c r="N5" s="79"/>
      <c r="O5" s="79"/>
      <c r="P5" s="79"/>
      <c r="Q5" s="79"/>
      <c r="R5" s="79"/>
    </row>
    <row r="6" customFormat="false" ht="15" hidden="false" customHeight="true" outlineLevel="0" collapsed="false">
      <c r="B6" s="68" t="s">
        <v>380</v>
      </c>
      <c r="C6" s="68"/>
      <c r="D6" s="68"/>
      <c r="E6" s="68"/>
      <c r="F6" s="68"/>
      <c r="G6" s="68"/>
      <c r="H6" s="68"/>
    </row>
    <row r="7" customFormat="false" ht="15" hidden="false" customHeight="true" outlineLevel="0" collapsed="false">
      <c r="B7" s="69" t="s">
        <v>329</v>
      </c>
      <c r="C7" s="77" t="n">
        <f aca="false">Historico!G74*(1+Hipotesis!C30)</f>
        <v>137965.02</v>
      </c>
      <c r="D7" s="77" t="n">
        <f aca="false">C7*(1+Hipotesis!D30)</f>
        <v>155900.4726</v>
      </c>
      <c r="E7" s="77" t="n">
        <f aca="false">D7*(1+Hipotesis!E30)</f>
        <v>173829.026949</v>
      </c>
      <c r="F7" s="77" t="n">
        <f aca="false">E7*(1+Hipotesis!F30)</f>
        <v>191211.9296439</v>
      </c>
      <c r="G7" s="77" t="n">
        <f aca="false">F7*(1+Hipotesis!G30)</f>
        <v>208421.003311851</v>
      </c>
      <c r="H7" s="77" t="n">
        <f aca="false">G7*(1+Hipotesis!H30)</f>
        <v>217799.948460884</v>
      </c>
      <c r="L7" s="67" t="s">
        <v>381</v>
      </c>
      <c r="M7" s="87" t="n">
        <v>0.02</v>
      </c>
      <c r="N7" s="87" t="n">
        <v>0.025</v>
      </c>
      <c r="O7" s="87" t="n">
        <v>0.03</v>
      </c>
      <c r="P7" s="87" t="n">
        <v>0.035</v>
      </c>
      <c r="Q7" s="87" t="n">
        <v>0.04</v>
      </c>
    </row>
    <row r="8" customFormat="false" ht="15" hidden="false" customHeight="true" outlineLevel="0" collapsed="false">
      <c r="B8" s="72" t="s">
        <v>340</v>
      </c>
      <c r="C8" s="74" t="n">
        <f aca="false">C7/Historico!G74-1</f>
        <v>0.142</v>
      </c>
      <c r="D8" s="74" t="n">
        <f aca="false">D7/C7-1</f>
        <v>0.13</v>
      </c>
      <c r="E8" s="74" t="n">
        <f aca="false">E7/D7-1</f>
        <v>0.115</v>
      </c>
      <c r="F8" s="74" t="n">
        <f aca="false">F7/E7-1</f>
        <v>0.1</v>
      </c>
      <c r="G8" s="74" t="n">
        <f aca="false">G7/F7-1</f>
        <v>0.0900000000000001</v>
      </c>
      <c r="H8" s="74" t="n">
        <f aca="false">H7/G7-1</f>
        <v>0.0449999999999999</v>
      </c>
      <c r="L8" s="88" t="n">
        <v>0.075</v>
      </c>
      <c r="M8" s="89" t="n">
        <f aca="false">((C33/(1+$L$8)^0.5 + D33/(1+$L$8)^1.5 + E33/(1+$L$8)^2.5 + F33/(1+$L$8)^3.5 + G33/(1+$L$8)^4.5)+(G33*(1+M$7)/($L$8-M$7))/(1+$L$8)^5+Hipotesis!$C$15+Hipotesis!$C$16-Hipotesis!$C$14)/Hipotesis!$C$8</f>
        <v>399.131046803388</v>
      </c>
      <c r="N8" s="89" t="n">
        <f aca="false">((C33/(1+$L$8)^0.5 + D33/(1+$L$8)^1.5 + E33/(1+$L$8)^2.5 + F33/(1+$L$8)^3.5 + G33/(1+$L$8)^4.5)+(G33*(1+N$7)/($L$8-N$7))/(1+$L$8)^5+Hipotesis!$C$15+Hipotesis!$C$16-Hipotesis!$C$14)/Hipotesis!$C$8</f>
        <v>433.349383720926</v>
      </c>
      <c r="O8" s="89" t="n">
        <f aca="false">((C33/(1+$L$8)^0.5 + D33/(1+$L$8)^1.5 + E33/(1+$L$8)^2.5 + F33/(1+$L$8)^3.5 + G33/(1+$L$8)^4.5)+(G33*(1+O$7)/($L$8-O$7))/(1+$L$8)^5+Hipotesis!$C$15+Hipotesis!$C$16-Hipotesis!$C$14)/Hipotesis!$C$8</f>
        <v>475.171795509028</v>
      </c>
      <c r="P8" s="89" t="n">
        <f aca="false">((C33/(1+$L$8)^0.5 + D33/(1+$L$8)^1.5 + E33/(1+$L$8)^2.5 + F33/(1+$L$8)^3.5 + G33/(1+$L$8)^4.5)+(G33*(1+P$7)/($L$8-P$7))/(1+$L$8)^5+Hipotesis!$C$15+Hipotesis!$C$16-Hipotesis!$C$14)/Hipotesis!$C$8</f>
        <v>527.449810244155</v>
      </c>
      <c r="Q8" s="89" t="n">
        <f aca="false">((C33/(1+$L$8)^0.5 + D33/(1+$L$8)^1.5 + E33/(1+$L$8)^2.5 + F33/(1+$L$8)^3.5 + G33/(1+$L$8)^4.5)+(G33*(1+Q$7)/($L$8-Q$7))/(1+$L$8)^5+Hipotesis!$C$15+Hipotesis!$C$16-Hipotesis!$C$14)/Hipotesis!$C$8</f>
        <v>594.664400617891</v>
      </c>
    </row>
    <row r="9" customFormat="false" ht="15" hidden="false" customHeight="true" outlineLevel="0" collapsed="false">
      <c r="B9" s="69" t="s">
        <v>330</v>
      </c>
      <c r="C9" s="77" t="n">
        <f aca="false">Historico!G75*(1+Hipotesis!C31)</f>
        <v>130174.625</v>
      </c>
      <c r="D9" s="77" t="n">
        <f aca="false">C9*(1+Hipotesis!D31)</f>
        <v>162718.28125</v>
      </c>
      <c r="E9" s="77" t="n">
        <f aca="false">D9*(1+Hipotesis!E31)</f>
        <v>198516.303125</v>
      </c>
      <c r="F9" s="77" t="n">
        <f aca="false">E9*(1+Hipotesis!F31)</f>
        <v>234249.2376875</v>
      </c>
      <c r="G9" s="77" t="n">
        <f aca="false">F9*(1+Hipotesis!G31)</f>
        <v>267044.13096375</v>
      </c>
      <c r="H9" s="77" t="n">
        <f aca="false">G9*(1+Hipotesis!H31)</f>
        <v>279061.116857119</v>
      </c>
      <c r="L9" s="88" t="n">
        <v>0.085</v>
      </c>
      <c r="M9" s="89" t="n">
        <f aca="false">((C33/(1+$L$9)^0.5 + D33/(1+$L$9)^1.5 + E33/(1+$L$9)^2.5 + F33/(1+$L$9)^3.5 + G33/(1+$L$9)^4.5)+(G33*(1+M$7)/($L$9-M$7))/(1+$L$9)^5+Hipotesis!$C$15+Hipotesis!$C$16-Hipotesis!$C$14)/Hipotesis!$C$8</f>
        <v>335.007964172615</v>
      </c>
      <c r="N9" s="89" t="n">
        <f aca="false">((C33/(1+$L$9)^0.5 + D33/(1+$L$9)^1.5 + E33/(1+$L$9)^2.5 + F33/(1+$L$9)^3.5 + G33/(1+$L$9)^4.5)+(G33*(1+N$7)/($L$9-N$7))/(1+$L$9)^5+Hipotesis!$C$15+Hipotesis!$C$16-Hipotesis!$C$14)/Hipotesis!$C$8</f>
        <v>358.258977718474</v>
      </c>
      <c r="O9" s="89" t="n">
        <f aca="false">((C33/(1+$L$9)^0.5 + D33/(1+$L$9)^1.5 + E33/(1+$L$9)^2.5 + F33/(1+$L$9)^3.5 + G33/(1+$L$9)^4.5)+(G33*(1+O$7)/($L$9-O$7))/(1+$L$9)^5+Hipotesis!$C$15+Hipotesis!$C$16-Hipotesis!$C$14)/Hipotesis!$C$8</f>
        <v>385.73744827267</v>
      </c>
      <c r="P9" s="89" t="n">
        <f aca="false">((C33/(1+$L$9)^0.5 + D33/(1+$L$9)^1.5 + E33/(1+$L$9)^2.5 + F33/(1+$L$9)^3.5 + G33/(1+$L$9)^4.5)+(G33*(1+P$7)/($L$9-P$7))/(1+$L$9)^5+Hipotesis!$C$15+Hipotesis!$C$16-Hipotesis!$C$14)/Hipotesis!$C$8</f>
        <v>418.711612937706</v>
      </c>
      <c r="Q9" s="89" t="n">
        <f aca="false">((C33/(1+$L$9)^0.5 + D33/(1+$L$9)^1.5 + E33/(1+$L$9)^2.5 + F33/(1+$L$9)^3.5 + G33/(1+$L$9)^4.5)+(G33*(1+Q$7)/($L$9-Q$7))/(1+$L$9)^5+Hipotesis!$C$15+Hipotesis!$C$16-Hipotesis!$C$14)/Hipotesis!$C$8</f>
        <v>459.013369750528</v>
      </c>
    </row>
    <row r="10" customFormat="false" ht="15" hidden="false" customHeight="true" outlineLevel="0" collapsed="false">
      <c r="B10" s="72" t="s">
        <v>341</v>
      </c>
      <c r="C10" s="74" t="n">
        <f aca="false">C9/Historico!G75-1</f>
        <v>0.225</v>
      </c>
      <c r="D10" s="74" t="n">
        <f aca="false">D9/C9-1</f>
        <v>0.25</v>
      </c>
      <c r="E10" s="74" t="n">
        <f aca="false">E9/D9-1</f>
        <v>0.22</v>
      </c>
      <c r="F10" s="74" t="n">
        <f aca="false">F9/E9-1</f>
        <v>0.18</v>
      </c>
      <c r="G10" s="74" t="n">
        <f aca="false">G9/F9-1</f>
        <v>0.14</v>
      </c>
      <c r="H10" s="74" t="n">
        <f aca="false">H9/G9-1</f>
        <v>0.0449999999999999</v>
      </c>
      <c r="L10" s="88" t="n">
        <v>0.0912</v>
      </c>
      <c r="M10" s="89" t="n">
        <f aca="false">((C33/(1+$L$10)^0.5 + D33/(1+$L$10)^1.5 + E33/(1+$L$10)^2.5 + F33/(1+$L$10)^3.5 + G33/(1+$L$10)^4.5)+(G33*(1+M$7)/($L$10-M$7))/(1+$L$10)^5+Hipotesis!$C$15+Hipotesis!$C$16-Hipotesis!$C$14)/Hipotesis!$C$8</f>
        <v>304.396437265383</v>
      </c>
      <c r="N10" s="89" t="n">
        <f aca="false">((C33/(1+$L$10)^0.5 + D33/(1+$L$10)^1.5 + E33/(1+$L$10)^2.5 + F33/(1+$L$10)^3.5 + G33/(1+$L$10)^4.5)+(G33*(1+N$7)/($L$10-N$7))/(1+$L$10)^5+Hipotesis!$C$15+Hipotesis!$C$16-Hipotesis!$C$14)/Hipotesis!$C$8</f>
        <v>323.201294325914</v>
      </c>
      <c r="O10" s="90" t="n">
        <f aca="false">((C33/(1+$L$10)^0.5 + D33/(1+$L$10)^1.5 + E33/(1+$L$10)^2.5 + F33/(1+$L$10)^3.5 + G33/(1+$L$10)^4.5)+(G33*(1+O$7)/($L$10-O$7))/(1+$L$10)^5+Hipotesis!$C$15+Hipotesis!$C$16-Hipotesis!$C$14)/Hipotesis!$C$8</f>
        <v>345.078840448624</v>
      </c>
      <c r="P10" s="89" t="n">
        <f aca="false">((C33/(1+$L$10)^0.5 + D33/(1+$L$10)^1.5 + E33/(1+$L$10)^2.5 + F33/(1+$L$10)^3.5 + G33/(1+$L$10)^4.5)+(G33*(1+P$7)/($L$10-P$7))/(1+$L$10)^5+Hipotesis!$C$15+Hipotesis!$C$16-Hipotesis!$C$14)/Hipotesis!$C$8</f>
        <v>370.849188372527</v>
      </c>
      <c r="Q10" s="89" t="n">
        <f aca="false">((C33/(1+$L$10)^0.5 + D33/(1+$L$10)^1.5 + E33/(1+$L$10)^2.5 + F33/(1+$L$10)^3.5 + G33/(1+$L$10)^4.5)+(G33*(1+Q$7)/($L$10-Q$7))/(1+$L$10)^5+Hipotesis!$C$15+Hipotesis!$C$16-Hipotesis!$C$14)/Hipotesis!$C$8</f>
        <v>401.652807375318</v>
      </c>
    </row>
    <row r="11" customFormat="false" ht="15" hidden="false" customHeight="true" outlineLevel="0" collapsed="false">
      <c r="B11" s="69" t="s">
        <v>331</v>
      </c>
      <c r="C11" s="77" t="n">
        <f aca="false">Historico!G76*(1+Hipotesis!C32)</f>
        <v>55741.98</v>
      </c>
      <c r="D11" s="77" t="n">
        <f aca="false">C11*(1+Hipotesis!D32)</f>
        <v>57971.6592</v>
      </c>
      <c r="E11" s="77" t="n">
        <f aca="false">D11*(1+Hipotesis!E32)</f>
        <v>60290.525568</v>
      </c>
      <c r="F11" s="77" t="n">
        <f aca="false">E11*(1+Hipotesis!F32)</f>
        <v>62400.69396288</v>
      </c>
      <c r="G11" s="77" t="n">
        <f aca="false">F11*(1+Hipotesis!G32)</f>
        <v>64272.7147817664</v>
      </c>
      <c r="H11" s="77" t="n">
        <f aca="false">G11*(1+Hipotesis!H32)</f>
        <v>66200.8962252194</v>
      </c>
      <c r="L11" s="88" t="n">
        <v>0.1</v>
      </c>
      <c r="M11" s="89" t="n">
        <f aca="false">((C33/(1+$L$11)^0.5 + D33/(1+$L$11)^1.5 + E33/(1+$L$11)^2.5 + F33/(1+$L$11)^3.5 + G33/(1+$L$11)^4.5)+(G33*(1+M$7)/($L$11-M$7))/(1+$L$11)^5+Hipotesis!$C$15+Hipotesis!$C$16-Hipotesis!$C$14)/Hipotesis!$C$8</f>
        <v>269.204229197423</v>
      </c>
      <c r="N11" s="89" t="n">
        <f aca="false">((C33/(1+$L$11)^0.5 + D33/(1+$L$11)^1.5 + E33/(1+$L$11)^2.5 + F33/(1+$L$11)^3.5 + G33/(1+$L$11)^4.5)+(G33*(1+N$7)/($L$11-N$7))/(1+$L$11)^5+Hipotesis!$C$15+Hipotesis!$C$16-Hipotesis!$C$14)/Hipotesis!$C$8</f>
        <v>283.509742907942</v>
      </c>
      <c r="O11" s="89" t="n">
        <f aca="false">((C33/(1+$L$11)^0.5 + D33/(1+$L$11)^1.5 + E33/(1+$L$11)^2.5 + F33/(1+$L$11)^3.5 + G33/(1+$L$11)^4.5)+(G33*(1+O$7)/($L$11-O$7))/(1+$L$11)^5+Hipotesis!$C$15+Hipotesis!$C$16-Hipotesis!$C$14)/Hipotesis!$C$8</f>
        <v>299.858901434249</v>
      </c>
      <c r="P11" s="89" t="n">
        <f aca="false">((C33/(1+$L$11)^0.5 + D33/(1+$L$11)^1.5 + E33/(1+$L$11)^2.5 + F33/(1+$L$11)^3.5 + G33/(1+$L$11)^4.5)+(G33*(1+P$7)/($L$11-P$7))/(1+$L$11)^5+Hipotesis!$C$15+Hipotesis!$C$16-Hipotesis!$C$14)/Hipotesis!$C$8</f>
        <v>318.72331511845</v>
      </c>
      <c r="Q11" s="89" t="n">
        <f aca="false">((C33/(1+$L$11)^0.5 + D33/(1+$L$11)^1.5 + E33/(1+$L$11)^2.5 + F33/(1+$L$11)^3.5 + G33/(1+$L$11)^4.5)+(G33*(1+Q$7)/($L$11-Q$7))/(1+$L$11)^5+Hipotesis!$C$15+Hipotesis!$C$16-Hipotesis!$C$14)/Hipotesis!$C$8</f>
        <v>340.731797750017</v>
      </c>
    </row>
    <row r="12" customFormat="false" ht="15" hidden="false" customHeight="true" outlineLevel="0" collapsed="false">
      <c r="B12" s="72" t="s">
        <v>342</v>
      </c>
      <c r="C12" s="74" t="n">
        <f aca="false">C11/Historico!G76-1</f>
        <v>0.02</v>
      </c>
      <c r="D12" s="74" t="n">
        <f aca="false">D11/C11-1</f>
        <v>0.04</v>
      </c>
      <c r="E12" s="74" t="n">
        <f aca="false">E11/D11-1</f>
        <v>0.04</v>
      </c>
      <c r="F12" s="74" t="n">
        <f aca="false">F11/E11-1</f>
        <v>0.0349999999999999</v>
      </c>
      <c r="G12" s="74" t="n">
        <f aca="false">G11/F11-1</f>
        <v>0.03</v>
      </c>
      <c r="H12" s="74" t="n">
        <f aca="false">H11/G11-1</f>
        <v>0.03</v>
      </c>
      <c r="L12" s="88" t="n">
        <v>0.11</v>
      </c>
      <c r="M12" s="89" t="n">
        <f aca="false">((C33/(1+$L$12)^0.5 + D33/(1+$L$12)^1.5 + E33/(1+$L$12)^2.5 + F33/(1+$L$12)^3.5 + G33/(1+$L$12)^4.5)+(G33*(1+M$7)/($L$12-M$7))/(1+$L$12)^5+Hipotesis!$C$15+Hipotesis!$C$16-Hipotesis!$C$14)/Hipotesis!$C$8</f>
        <v>237.698539442494</v>
      </c>
      <c r="N12" s="89" t="n">
        <f aca="false">((C33/(1+$L$12)^0.5 + D33/(1+$L$12)^1.5 + E33/(1+$L$12)^2.5 + F33/(1+$L$12)^3.5 + G33/(1+$L$12)^4.5)+(G33*(1+N$7)/($L$12-N$7))/(1+$L$12)^5+Hipotesis!$C$15+Hipotesis!$C$16-Hipotesis!$C$14)/Hipotesis!$C$8</f>
        <v>248.519656589476</v>
      </c>
      <c r="O12" s="89" t="n">
        <f aca="false">((C33/(1+$L$12)^0.5 + D33/(1+$L$12)^1.5 + E33/(1+$L$12)^2.5 + F33/(1+$L$12)^3.5 + G33/(1+$L$12)^4.5)+(G33*(1+O$7)/($L$12-O$7))/(1+$L$12)^5+Hipotesis!$C$15+Hipotesis!$C$16-Hipotesis!$C$14)/Hipotesis!$C$8</f>
        <v>260.69341337983</v>
      </c>
      <c r="P12" s="89" t="n">
        <f aca="false">((C33/(1+$L$12)^0.5 + D33/(1+$L$12)^1.5 + E33/(1+$L$12)^2.5 + F33/(1+$L$12)^3.5 + G33/(1+$L$12)^4.5)+(G33*(1+P$7)/($L$12-P$7))/(1+$L$12)^5+Hipotesis!$C$15+Hipotesis!$C$16-Hipotesis!$C$14)/Hipotesis!$C$8</f>
        <v>274.490337742232</v>
      </c>
      <c r="Q12" s="89" t="n">
        <f aca="false">((C33/(1+$L$12)^0.5 + D33/(1+$L$12)^1.5 + E33/(1+$L$12)^2.5 + F33/(1+$L$12)^3.5 + G33/(1+$L$12)^4.5)+(G33*(1+Q$7)/($L$12-Q$7))/(1+$L$12)^5+Hipotesis!$C$15+Hipotesis!$C$16-Hipotesis!$C$14)/Hipotesis!$C$8</f>
        <v>290.258251299263</v>
      </c>
    </row>
    <row r="13" customFormat="false" ht="15" hidden="false" customHeight="true" outlineLevel="0" collapsed="false">
      <c r="B13" s="63" t="s">
        <v>382</v>
      </c>
      <c r="C13" s="91" t="n">
        <f aca="false">C7+C9+C11</f>
        <v>323881.625</v>
      </c>
      <c r="D13" s="91" t="n">
        <f aca="false">D7+D9+D11</f>
        <v>376590.41305</v>
      </c>
      <c r="E13" s="91" t="n">
        <f aca="false">E7+E9+E11</f>
        <v>432635.855642</v>
      </c>
      <c r="F13" s="91" t="n">
        <f aca="false">F7+F9+F11</f>
        <v>487861.86129428</v>
      </c>
      <c r="G13" s="91" t="n">
        <f aca="false">G7+G9+G11</f>
        <v>539737.849057368</v>
      </c>
      <c r="H13" s="91" t="n">
        <f aca="false">H7+H9+H11</f>
        <v>563061.961543222</v>
      </c>
    </row>
    <row r="14" customFormat="false" ht="15" hidden="false" customHeight="true" outlineLevel="0" collapsed="false">
      <c r="B14" s="72" t="s">
        <v>383</v>
      </c>
      <c r="C14" s="74" t="n">
        <f aca="false">C13/Historico!G6-1</f>
        <v>0.149641581831864</v>
      </c>
      <c r="D14" s="74" t="n">
        <f aca="false">D13/C13-1</f>
        <v>0.162740902791259</v>
      </c>
      <c r="E14" s="74" t="n">
        <f aca="false">E13/D13-1</f>
        <v>0.148823338698638</v>
      </c>
      <c r="F14" s="74" t="n">
        <f aca="false">F13/E13-1</f>
        <v>0.127650089404469</v>
      </c>
      <c r="G14" s="74" t="n">
        <f aca="false">G13/F13-1</f>
        <v>0.106333353514174</v>
      </c>
      <c r="H14" s="74" t="n">
        <f aca="false">H13/G13-1</f>
        <v>0.0432137796646828</v>
      </c>
    </row>
    <row r="15" customFormat="false" ht="15" hidden="false" customHeight="true" outlineLevel="0" collapsed="false">
      <c r="L15" s="79" t="s">
        <v>384</v>
      </c>
      <c r="M15" s="79"/>
      <c r="N15" s="79"/>
      <c r="O15" s="79"/>
      <c r="P15" s="79"/>
      <c r="Q15" s="79"/>
      <c r="R15" s="79"/>
    </row>
    <row r="16" customFormat="false" ht="15" hidden="false" customHeight="true" outlineLevel="0" collapsed="false">
      <c r="B16" s="68" t="s">
        <v>385</v>
      </c>
      <c r="C16" s="68"/>
      <c r="D16" s="68"/>
      <c r="E16" s="68"/>
      <c r="F16" s="68"/>
      <c r="G16" s="68"/>
      <c r="H16" s="68"/>
    </row>
    <row r="17" customFormat="false" ht="15" hidden="false" customHeight="true" outlineLevel="0" collapsed="false">
      <c r="B17" s="69" t="s">
        <v>332</v>
      </c>
      <c r="C17" s="77" t="n">
        <f aca="false">C7*Hipotesis!C33</f>
        <v>79329.8865</v>
      </c>
      <c r="D17" s="77" t="n">
        <f aca="false">D7*Hipotesis!D33</f>
        <v>90422.274108</v>
      </c>
      <c r="E17" s="77" t="n">
        <f aca="false">E7*Hipotesis!E33</f>
        <v>100820.83563042</v>
      </c>
      <c r="F17" s="77" t="n">
        <f aca="false">F7*Hipotesis!F33</f>
        <v>111858.978841681</v>
      </c>
      <c r="G17" s="77" t="n">
        <f aca="false">G7*Hipotesis!G33</f>
        <v>121926.286937433</v>
      </c>
      <c r="H17" s="77" t="n">
        <f aca="false">H7*Hipotesis!H33</f>
        <v>127412.969849617</v>
      </c>
      <c r="L17" s="67" t="s">
        <v>386</v>
      </c>
      <c r="M17" s="87" t="n">
        <v>0.4</v>
      </c>
      <c r="N17" s="87" t="n">
        <v>0.43</v>
      </c>
      <c r="O17" s="87" t="n">
        <v>0.46</v>
      </c>
      <c r="P17" s="87" t="n">
        <v>0.49</v>
      </c>
      <c r="Q17" s="87" t="n">
        <v>0.52</v>
      </c>
    </row>
    <row r="18" customFormat="false" ht="15" hidden="false" customHeight="true" outlineLevel="0" collapsed="false">
      <c r="B18" s="72" t="s">
        <v>336</v>
      </c>
      <c r="C18" s="74" t="n">
        <f aca="false">C17/C7</f>
        <v>0.575</v>
      </c>
      <c r="D18" s="74" t="n">
        <f aca="false">D17/D7</f>
        <v>0.58</v>
      </c>
      <c r="E18" s="74" t="n">
        <f aca="false">E17/E7</f>
        <v>0.58</v>
      </c>
      <c r="F18" s="74" t="n">
        <f aca="false">F17/F7</f>
        <v>0.585</v>
      </c>
      <c r="G18" s="74" t="n">
        <f aca="false">G17/G7</f>
        <v>0.585</v>
      </c>
      <c r="H18" s="74" t="n">
        <f aca="false">H17/H7</f>
        <v>0.585</v>
      </c>
      <c r="L18" s="88" t="n">
        <v>0.075</v>
      </c>
      <c r="M18" s="89" t="n">
        <f aca="false">(C41+((G13*M$17*(1-Hipotesis!$C$13)+G28+G30+G32)*(1+Hipotesis!$C$47)/($L$18-Hipotesis!$C$47))/(1+$L$18)^5+Hipotesis!$C$15+Hipotesis!$C$16-Hipotesis!$C$14)/Hipotesis!$C$8</f>
        <v>416.871150748015</v>
      </c>
      <c r="N18" s="89" t="n">
        <f aca="false">(C41+((G13*N$17*(1-Hipotesis!$C$13)+G28+G30+G32)*(1+Hipotesis!$C$47)/($L$18-Hipotesis!$C$47))/(1+$L$18)^5+Hipotesis!$C$15+Hipotesis!$C$16-Hipotesis!$C$14)/Hipotesis!$C$8</f>
        <v>445.368540976411</v>
      </c>
      <c r="O18" s="89" t="n">
        <f aca="false">(C41+((G13*O$17*(1-Hipotesis!$C$13)+G28+G30+G32)*(1+Hipotesis!$C$47)/($L$18-Hipotesis!$C$47))/(1+$L$18)^5+Hipotesis!$C$15+Hipotesis!$C$16-Hipotesis!$C$14)/Hipotesis!$C$8</f>
        <v>473.865931204806</v>
      </c>
      <c r="P18" s="89" t="n">
        <f aca="false">(C41+((G13*P$17*(1-Hipotesis!$C$13)+G28+G30+G32)*(1+Hipotesis!$C$47)/($L$18-Hipotesis!$C$47))/(1+$L$18)^5+Hipotesis!$C$15+Hipotesis!$C$16-Hipotesis!$C$14)/Hipotesis!$C$8</f>
        <v>502.363321433202</v>
      </c>
      <c r="Q18" s="89" t="n">
        <f aca="false">(C41+((G13*Q$17*(1-Hipotesis!$C$13)+G28+G30+G32)*(1+Hipotesis!$C$47)/($L$18-Hipotesis!$C$47))/(1+$L$18)^5+Hipotesis!$C$15+Hipotesis!$C$16-Hipotesis!$C$14)/Hipotesis!$C$8</f>
        <v>530.860711661598</v>
      </c>
    </row>
    <row r="19" customFormat="false" ht="15" hidden="false" customHeight="true" outlineLevel="0" collapsed="false">
      <c r="B19" s="69" t="s">
        <v>387</v>
      </c>
      <c r="C19" s="77" t="n">
        <f aca="false">C9*Hipotesis!C34</f>
        <v>50768.10375</v>
      </c>
      <c r="D19" s="77" t="n">
        <f aca="false">D9*Hipotesis!D34</f>
        <v>61832.946875</v>
      </c>
      <c r="E19" s="77" t="n">
        <f aca="false">E9*Hipotesis!E34</f>
        <v>76428.776703125</v>
      </c>
      <c r="F19" s="77" t="n">
        <f aca="false">F9*Hipotesis!F34</f>
        <v>92528.4488865625</v>
      </c>
      <c r="G19" s="77" t="n">
        <f aca="false">G9*Hipotesis!G34</f>
        <v>108152.873040319</v>
      </c>
      <c r="H19" s="77" t="n">
        <f aca="false">H9*Hipotesis!H34</f>
        <v>115810.363495704</v>
      </c>
      <c r="L19" s="88" t="n">
        <v>0.085</v>
      </c>
      <c r="M19" s="89" t="n">
        <f aca="false">(C41+((G13*M$17*(1-Hipotesis!$C$13)+G28+G30+G32)*(1+Hipotesis!$C$47)/($L$19-Hipotesis!$C$47))/(1+$L$19)^5+Hipotesis!$C$15+Hipotesis!$C$16-Hipotesis!$C$14)/Hipotesis!$C$8</f>
        <v>341.327040713733</v>
      </c>
      <c r="N19" s="89" t="n">
        <f aca="false">(C41+((G13*N$17*(1-Hipotesis!$C$13)+G28+G30+G32)*(1+Hipotesis!$C$47)/($L$19-Hipotesis!$C$47))/(1+$L$19)^5+Hipotesis!$C$15+Hipotesis!$C$16-Hipotesis!$C$14)/Hipotesis!$C$8</f>
        <v>363.588239308426</v>
      </c>
      <c r="O19" s="89" t="n">
        <f aca="false">(C41+((G13*O$17*(1-Hipotesis!$C$13)+G28+G30+G32)*(1+Hipotesis!$C$47)/($L$19-Hipotesis!$C$47))/(1+$L$19)^5+Hipotesis!$C$15+Hipotesis!$C$16-Hipotesis!$C$14)/Hipotesis!$C$8</f>
        <v>385.84943790312</v>
      </c>
      <c r="P19" s="89" t="n">
        <f aca="false">(C41+((G13*P$17*(1-Hipotesis!$C$13)+G28+G30+G32)*(1+Hipotesis!$C$47)/($L$19-Hipotesis!$C$47))/(1+$L$19)^5+Hipotesis!$C$15+Hipotesis!$C$16-Hipotesis!$C$14)/Hipotesis!$C$8</f>
        <v>408.110636497813</v>
      </c>
      <c r="Q19" s="89" t="n">
        <f aca="false">(C41+((G13*Q$17*(1-Hipotesis!$C$13)+G28+G30+G32)*(1+Hipotesis!$C$47)/($L$19-Hipotesis!$C$47))/(1+$L$19)^5+Hipotesis!$C$15+Hipotesis!$C$16-Hipotesis!$C$14)/Hipotesis!$C$8</f>
        <v>430.371835092506</v>
      </c>
    </row>
    <row r="20" customFormat="false" ht="15" hidden="false" customHeight="true" outlineLevel="0" collapsed="false">
      <c r="B20" s="72" t="s">
        <v>337</v>
      </c>
      <c r="C20" s="74" t="n">
        <f aca="false">C19/C9</f>
        <v>0.39</v>
      </c>
      <c r="D20" s="74" t="n">
        <f aca="false">D19/D9</f>
        <v>0.38</v>
      </c>
      <c r="E20" s="74" t="n">
        <f aca="false">E19/E9</f>
        <v>0.385</v>
      </c>
      <c r="F20" s="74" t="n">
        <f aca="false">F19/F9</f>
        <v>0.395</v>
      </c>
      <c r="G20" s="74" t="n">
        <f aca="false">G19/G9</f>
        <v>0.405</v>
      </c>
      <c r="H20" s="74" t="n">
        <f aca="false">H19/H9</f>
        <v>0.415</v>
      </c>
      <c r="L20" s="88" t="n">
        <v>0.0912</v>
      </c>
      <c r="M20" s="89" t="n">
        <f aca="false">(C41+((G13*M$17*(1-Hipotesis!$C$13)+G28+G30+G32)*(1+Hipotesis!$C$47)/($L$20-Hipotesis!$C$47))/(1+$L$20)^5+Hipotesis!$C$15+Hipotesis!$C$16-Hipotesis!$C$14)/Hipotesis!$C$8</f>
        <v>307.200599238641</v>
      </c>
      <c r="N20" s="89" t="n">
        <f aca="false">(C41+((G13*N$17*(1-Hipotesis!$C$13)+G28+G30+G32)*(1+Hipotesis!$C$47)/($L$20-Hipotesis!$C$47))/(1+$L$20)^5+Hipotesis!$C$15+Hipotesis!$C$16-Hipotesis!$C$14)/Hipotesis!$C$8</f>
        <v>326.64464863774</v>
      </c>
      <c r="O20" s="90" t="n">
        <f aca="false">(C41+((G13*O$17*(1-Hipotesis!$C$13)+G28+G30+G32)*(1+Hipotesis!$C$47)/($L$20-Hipotesis!$C$47))/(1+$L$20)^5+Hipotesis!$C$15+Hipotesis!$C$16-Hipotesis!$C$14)/Hipotesis!$C$8</f>
        <v>346.088698036838</v>
      </c>
      <c r="P20" s="89" t="n">
        <f aca="false">(C41+((G13*P$17*(1-Hipotesis!$C$13)+G28+G30+G32)*(1+Hipotesis!$C$47)/($L$20-Hipotesis!$C$47))/(1+$L$20)^5+Hipotesis!$C$15+Hipotesis!$C$16-Hipotesis!$C$14)/Hipotesis!$C$8</f>
        <v>365.532747435936</v>
      </c>
      <c r="Q20" s="89" t="n">
        <f aca="false">(C41+((G13*Q$17*(1-Hipotesis!$C$13)+G28+G30+G32)*(1+Hipotesis!$C$47)/($L$20-Hipotesis!$C$47))/(1+$L$20)^5+Hipotesis!$C$15+Hipotesis!$C$16-Hipotesis!$C$14)/Hipotesis!$C$8</f>
        <v>384.976796835035</v>
      </c>
    </row>
    <row r="21" customFormat="false" ht="15" hidden="false" customHeight="true" outlineLevel="0" collapsed="false">
      <c r="B21" s="69" t="s">
        <v>334</v>
      </c>
      <c r="C21" s="77" t="n">
        <f aca="false">C11*Hipotesis!C35</f>
        <v>15329.0445</v>
      </c>
      <c r="D21" s="77" t="n">
        <f aca="false">D11*Hipotesis!D35</f>
        <v>15652.347984</v>
      </c>
      <c r="E21" s="77" t="n">
        <f aca="false">E11*Hipotesis!E35</f>
        <v>16278.44190336</v>
      </c>
      <c r="F21" s="77" t="n">
        <f aca="false">F11*Hipotesis!F35</f>
        <v>16848.1873699776</v>
      </c>
      <c r="G21" s="77" t="n">
        <f aca="false">G11*Hipotesis!G35</f>
        <v>17353.6329910769</v>
      </c>
      <c r="H21" s="77" t="n">
        <f aca="false">H11*Hipotesis!H35</f>
        <v>17874.2419808092</v>
      </c>
      <c r="L21" s="88" t="n">
        <v>0.1</v>
      </c>
      <c r="M21" s="89" t="n">
        <f aca="false">(C41+((G13*M$17*(1-Hipotesis!$C$13)+G28+G30+G32)*(1+Hipotesis!$C$47)/($L$21-Hipotesis!$C$47))/(1+$L$21)^5+Hipotesis!$C$15+Hipotesis!$C$16-Hipotesis!$C$14)/Hipotesis!$C$8</f>
        <v>269.483152586671</v>
      </c>
      <c r="N21" s="89" t="n">
        <f aca="false">(C41+((G13*N$17*(1-Hipotesis!$C$13)+G28+G30+G32)*(1+Hipotesis!$C$47)/($L$21-Hipotesis!$C$47))/(1+$L$21)^5+Hipotesis!$C$15+Hipotesis!$C$16-Hipotesis!$C$14)/Hipotesis!$C$8</f>
        <v>285.813614107788</v>
      </c>
      <c r="O21" s="89" t="n">
        <f aca="false">(C41+((G13*O$17*(1-Hipotesis!$C$13)+G28+G30+G32)*(1+Hipotesis!$C$47)/($L$21-Hipotesis!$C$47))/(1+$L$21)^5+Hipotesis!$C$15+Hipotesis!$C$16-Hipotesis!$C$14)/Hipotesis!$C$8</f>
        <v>302.144075628905</v>
      </c>
      <c r="P21" s="89" t="n">
        <f aca="false">(C41+((G13*P$17*(1-Hipotesis!$C$13)+G28+G30+G32)*(1+Hipotesis!$C$47)/($L$21-Hipotesis!$C$47))/(1+$L$21)^5+Hipotesis!$C$15+Hipotesis!$C$16-Hipotesis!$C$14)/Hipotesis!$C$8</f>
        <v>318.474537150022</v>
      </c>
      <c r="Q21" s="89" t="n">
        <f aca="false">(C41+((G13*Q$17*(1-Hipotesis!$C$13)+G28+G30+G32)*(1+Hipotesis!$C$47)/($L$21-Hipotesis!$C$47))/(1+$L$21)^5+Hipotesis!$C$15+Hipotesis!$C$16-Hipotesis!$C$14)/Hipotesis!$C$8</f>
        <v>334.804998671139</v>
      </c>
    </row>
    <row r="22" customFormat="false" ht="15" hidden="false" customHeight="true" outlineLevel="0" collapsed="false">
      <c r="B22" s="72" t="s">
        <v>338</v>
      </c>
      <c r="C22" s="74" t="n">
        <f aca="false">C21/C11</f>
        <v>0.275</v>
      </c>
      <c r="D22" s="74" t="n">
        <f aca="false">D21/D11</f>
        <v>0.27</v>
      </c>
      <c r="E22" s="74" t="n">
        <f aca="false">E21/E11</f>
        <v>0.27</v>
      </c>
      <c r="F22" s="74" t="n">
        <f aca="false">F21/F11</f>
        <v>0.27</v>
      </c>
      <c r="G22" s="74" t="n">
        <f aca="false">G21/G11</f>
        <v>0.27</v>
      </c>
      <c r="H22" s="74" t="n">
        <f aca="false">H21/H11</f>
        <v>0.27</v>
      </c>
      <c r="L22" s="88" t="n">
        <v>0.11</v>
      </c>
      <c r="M22" s="89" t="n">
        <f aca="false">(C41+((G13*M$17*(1-Hipotesis!$C$13)+G28+G30+G32)*(1+Hipotesis!$C$47)/($L$22-Hipotesis!$C$47))/(1+$L$22)^5+Hipotesis!$C$15+Hipotesis!$C$16-Hipotesis!$C$14)/Hipotesis!$C$8</f>
        <v>237.097216622765</v>
      </c>
      <c r="N22" s="89" t="n">
        <f aca="false">(C41+((G13*N$17*(1-Hipotesis!$C$13)+G28+G30+G32)*(1+Hipotesis!$C$47)/($L$22-Hipotesis!$C$47))/(1+$L$22)^5+Hipotesis!$C$15+Hipotesis!$C$16-Hipotesis!$C$14)/Hipotesis!$C$8</f>
        <v>250.754208262298</v>
      </c>
      <c r="O22" s="89" t="n">
        <f aca="false">(C41+((G13*O$17*(1-Hipotesis!$C$13)+G28+G30+G32)*(1+Hipotesis!$C$47)/($L$22-Hipotesis!$C$47))/(1+$L$22)^5+Hipotesis!$C$15+Hipotesis!$C$16-Hipotesis!$C$14)/Hipotesis!$C$8</f>
        <v>264.411199901831</v>
      </c>
      <c r="P22" s="89" t="n">
        <f aca="false">(C41+((G13*P$17*(1-Hipotesis!$C$13)+G28+G30+G32)*(1+Hipotesis!$C$47)/($L$22-Hipotesis!$C$47))/(1+$L$22)^5+Hipotesis!$C$15+Hipotesis!$C$16-Hipotesis!$C$14)/Hipotesis!$C$8</f>
        <v>278.068191541364</v>
      </c>
      <c r="Q22" s="89" t="n">
        <f aca="false">(C41+((G13*Q$17*(1-Hipotesis!$C$13)+G28+G30+G32)*(1+Hipotesis!$C$47)/($L$22-Hipotesis!$C$47))/(1+$L$22)^5+Hipotesis!$C$15+Hipotesis!$C$16-Hipotesis!$C$14)/Hipotesis!$C$8</f>
        <v>291.725183180897</v>
      </c>
    </row>
    <row r="23" customFormat="false" ht="15" hidden="false" customHeight="true" outlineLevel="0" collapsed="false">
      <c r="B23" s="63" t="s">
        <v>388</v>
      </c>
      <c r="C23" s="91" t="n">
        <f aca="false">C17+C19+C21</f>
        <v>145427.03475</v>
      </c>
      <c r="D23" s="91" t="n">
        <f aca="false">D17+D19+D21</f>
        <v>167907.568967</v>
      </c>
      <c r="E23" s="91" t="n">
        <f aca="false">E17+E19+E21</f>
        <v>193528.054236905</v>
      </c>
      <c r="F23" s="91" t="n">
        <f aca="false">F17+F19+F21</f>
        <v>221235.615098222</v>
      </c>
      <c r="G23" s="91" t="n">
        <f aca="false">G17+G19+G21</f>
        <v>247432.792968829</v>
      </c>
      <c r="H23" s="91" t="n">
        <f aca="false">H17+H19+H21</f>
        <v>261097.575326131</v>
      </c>
    </row>
    <row r="24" customFormat="false" ht="15" hidden="false" customHeight="true" outlineLevel="0" collapsed="false">
      <c r="B24" s="72" t="s">
        <v>260</v>
      </c>
      <c r="C24" s="74" t="n">
        <f aca="false">C23/C13</f>
        <v>0.449012921773503</v>
      </c>
      <c r="D24" s="74" t="n">
        <f aca="false">D23/D13</f>
        <v>0.445862568850649</v>
      </c>
      <c r="E24" s="74" t="n">
        <f aca="false">E23/E13</f>
        <v>0.44732319735664</v>
      </c>
      <c r="F24" s="74" t="n">
        <f aca="false">F23/F13</f>
        <v>0.45348003738454</v>
      </c>
      <c r="G24" s="74" t="n">
        <f aca="false">G23/G13</f>
        <v>0.45843142814787</v>
      </c>
      <c r="H24" s="74" t="n">
        <f aca="false">H23/H13</f>
        <v>0.463710200935121</v>
      </c>
      <c r="L24" s="79" t="s">
        <v>389</v>
      </c>
      <c r="M24" s="79"/>
      <c r="N24" s="79"/>
      <c r="O24" s="79"/>
      <c r="P24" s="79"/>
      <c r="Q24" s="79"/>
      <c r="R24" s="79"/>
    </row>
    <row r="26" customFormat="false" ht="15" hidden="false" customHeight="true" outlineLevel="0" collapsed="false">
      <c r="B26" s="68" t="s">
        <v>390</v>
      </c>
      <c r="C26" s="68"/>
      <c r="D26" s="68"/>
      <c r="E26" s="68"/>
      <c r="F26" s="68"/>
      <c r="G26" s="68"/>
      <c r="H26" s="68"/>
      <c r="L26" s="67" t="s">
        <v>391</v>
      </c>
      <c r="M26" s="87" t="n">
        <v>0.02</v>
      </c>
      <c r="N26" s="87" t="n">
        <v>0.025</v>
      </c>
      <c r="O26" s="87" t="n">
        <v>0.03</v>
      </c>
      <c r="P26" s="87" t="n">
        <v>0.035</v>
      </c>
      <c r="Q26" s="87" t="n">
        <v>0.04</v>
      </c>
    </row>
    <row r="27" customFormat="false" ht="15" hidden="false" customHeight="true" outlineLevel="0" collapsed="false">
      <c r="B27" s="69" t="s">
        <v>392</v>
      </c>
      <c r="C27" s="77" t="n">
        <f aca="false">C23*(1-Hipotesis!$C$13)</f>
        <v>119250.168495</v>
      </c>
      <c r="D27" s="77" t="n">
        <f aca="false">D23*(1-Hipotesis!$C$13)</f>
        <v>137684.20655294</v>
      </c>
      <c r="E27" s="77" t="n">
        <f aca="false">E23*(1-Hipotesis!$C$13)</f>
        <v>158693.004474262</v>
      </c>
      <c r="F27" s="77" t="n">
        <f aca="false">F23*(1-Hipotesis!$C$13)</f>
        <v>181413.204380542</v>
      </c>
      <c r="G27" s="77" t="n">
        <f aca="false">G23*(1-Hipotesis!$C$13)</f>
        <v>202894.890234439</v>
      </c>
      <c r="H27" s="77" t="n">
        <f aca="false">H23*(1-Hipotesis!$C$13)</f>
        <v>214100.011767427</v>
      </c>
      <c r="L27" s="87" t="n">
        <v>0.1</v>
      </c>
      <c r="M27" s="89" t="n">
        <f aca="false">(C41+((G27+G28+(-G13*$L$27)+G32)*(1+M$26)/(Hipotesis!$C$25-M$26))/(1+Hipotesis!$C$25)^5+Hipotesis!$C$15+Hipotesis!$C$16-Hipotesis!$C$14)/Hipotesis!$C$8</f>
        <v>354.634568192198</v>
      </c>
      <c r="N27" s="89" t="n">
        <f aca="false">(C41+((G27+G28+(-G13*$L$27)+G32)*(1+N$26)/(Hipotesis!$C$25-N$26))/(1+Hipotesis!$C$25)^5+Hipotesis!$C$15+Hipotesis!$C$16-Hipotesis!$C$14)/Hipotesis!$C$8</f>
        <v>377.486031887792</v>
      </c>
      <c r="O27" s="89" t="n">
        <f aca="false">(C41+((G27+G28+(-G13*$L$27)+G32)*(1+O$26)/(Hipotesis!$C$25-O$26))/(1+Hipotesis!$C$25)^5+Hipotesis!$C$15+Hipotesis!$C$16-Hipotesis!$C$14)/Hipotesis!$C$8</f>
        <v>404.068907395891</v>
      </c>
      <c r="P27" s="89" t="n">
        <f aca="false">(C41+((G27+G28+(-G13*$L$27)+G32)*(1+P$26)/(Hipotesis!$C$25-P$26))/(1+Hipotesis!$C$25)^5+Hipotesis!$C$15+Hipotesis!$C$16-Hipotesis!$C$14)/Hipotesis!$C$8</f>
        <v>435.378400673857</v>
      </c>
      <c r="Q27" s="89" t="n">
        <f aca="false">(C41+((G27+G28+(-G13*$L$27)+G32)*(1+Q$26)/(Hipotesis!$C$25-Q$26))/(1+Hipotesis!$C$25)^5+Hipotesis!$C$15+Hipotesis!$C$16-Hipotesis!$C$14)/Hipotesis!$C$8</f>
        <v>472.798160481187</v>
      </c>
    </row>
    <row r="28" customFormat="false" ht="15" hidden="false" customHeight="true" outlineLevel="0" collapsed="false">
      <c r="B28" s="69" t="s">
        <v>393</v>
      </c>
      <c r="C28" s="77" t="n">
        <f aca="false">C13*Hipotesis!C40</f>
        <v>37894.150125</v>
      </c>
      <c r="D28" s="77" t="n">
        <f aca="false">D13*Hipotesis!D40</f>
        <v>50839.70576175</v>
      </c>
      <c r="E28" s="77" t="n">
        <f aca="false">E13*Hipotesis!E40</f>
        <v>64895.3783463</v>
      </c>
      <c r="F28" s="77" t="n">
        <f aca="false">F13*Hipotesis!F40</f>
        <v>73179.279194142</v>
      </c>
      <c r="G28" s="77" t="n">
        <f aca="false">G13*Hipotesis!G40</f>
        <v>78261.9881133183</v>
      </c>
      <c r="H28" s="77" t="n">
        <f aca="false">H13*Hipotesis!H40</f>
        <v>78828.6746160512</v>
      </c>
      <c r="L28" s="87" t="n">
        <v>0.125</v>
      </c>
      <c r="M28" s="89" t="n">
        <f aca="false">(C41+((G27+G28+(-G13*$L$28)+G32)*(1+M$26)/(Hipotesis!$C$25-M$26))/(1+Hipotesis!$C$25)^5+Hipotesis!$C$15+Hipotesis!$C$16-Hipotesis!$C$14)/Hipotesis!$C$8</f>
        <v>337.827342756816</v>
      </c>
      <c r="N28" s="89" t="n">
        <f aca="false">(C41+((G27+G28+(-G13*$L$28)+G32)*(1+N$26)/(Hipotesis!$C$25-N$26))/(1+Hipotesis!$C$25)^5+Hipotesis!$C$15+Hipotesis!$C$16-Hipotesis!$C$14)/Hipotesis!$C$8</f>
        <v>359.32155318193</v>
      </c>
      <c r="O28" s="89" t="n">
        <f aca="false">(C41+((G27+G28+(-G13*$L$28)+G32)*(1+O$26)/(Hipotesis!$C$25-O$26))/(1+Hipotesis!$C$25)^5+Hipotesis!$C$15+Hipotesis!$C$16-Hipotesis!$C$14)/Hipotesis!$C$8</f>
        <v>384.325549752437</v>
      </c>
      <c r="P28" s="89" t="n">
        <f aca="false">(C41+((G27+G28+(-G13*$L$28)+G32)*(1+P$26)/(Hipotesis!$C$25-P$26))/(1+Hipotesis!$C$25)^5+Hipotesis!$C$15+Hipotesis!$C$16-Hipotesis!$C$14)/Hipotesis!$C$8</f>
        <v>413.775428577927</v>
      </c>
      <c r="Q28" s="89" t="n">
        <f aca="false">(C41+((G27+G28+(-G13*$L$28)+G32)*(1+Q$26)/(Hipotesis!$C$25-Q$26))/(1+Hipotesis!$C$25)^5+Hipotesis!$C$15+Hipotesis!$C$16-Hipotesis!$C$14)/Hipotesis!$C$8</f>
        <v>448.972657169944</v>
      </c>
    </row>
    <row r="29" customFormat="false" ht="15" hidden="false" customHeight="true" outlineLevel="0" collapsed="false">
      <c r="B29" s="72" t="s">
        <v>294</v>
      </c>
      <c r="C29" s="74" t="n">
        <f aca="false">C28/C13</f>
        <v>0.117</v>
      </c>
      <c r="D29" s="74" t="n">
        <f aca="false">D28/D13</f>
        <v>0.135</v>
      </c>
      <c r="E29" s="74" t="n">
        <f aca="false">E28/E13</f>
        <v>0.15</v>
      </c>
      <c r="F29" s="74" t="n">
        <f aca="false">F28/F13</f>
        <v>0.15</v>
      </c>
      <c r="G29" s="74" t="n">
        <f aca="false">G28/G13</f>
        <v>0.145</v>
      </c>
      <c r="H29" s="74" t="n">
        <f aca="false">H28/H13</f>
        <v>0.14</v>
      </c>
      <c r="L29" s="87" t="n">
        <v>0.15</v>
      </c>
      <c r="M29" s="89" t="n">
        <f aca="false">(C41+((G27+G28+(-G13*$L$29)+G32)*(1+M$26)/(Hipotesis!$C$25-M$26))/(1+Hipotesis!$C$25)^5+Hipotesis!$C$15+Hipotesis!$C$16-Hipotesis!$C$14)/Hipotesis!$C$8</f>
        <v>321.020117321434</v>
      </c>
      <c r="N29" s="89" t="n">
        <f aca="false">(C41+((G27+G28+(-G13*$L$29)+G32)*(1+N$26)/(Hipotesis!$C$25-N$26))/(1+Hipotesis!$C$25)^5+Hipotesis!$C$15+Hipotesis!$C$16-Hipotesis!$C$14)/Hipotesis!$C$8</f>
        <v>341.157074476069</v>
      </c>
      <c r="O29" s="90" t="n">
        <f aca="false">(C41+((G27+G28+(-G13*$L$29)+G32)*(1+O$26)/(Hipotesis!$C$25-O$26))/(1+Hipotesis!$C$25)^5+Hipotesis!$C$15+Hipotesis!$C$16-Hipotesis!$C$14)/Hipotesis!$C$8</f>
        <v>364.582192108984</v>
      </c>
      <c r="P29" s="89" t="n">
        <f aca="false">(C41+((G27+G28+(-G13*$L$29)+G32)*(1+P$26)/(Hipotesis!$C$25-P$26))/(1+Hipotesis!$C$25)^5+Hipotesis!$C$15+Hipotesis!$C$16-Hipotesis!$C$14)/Hipotesis!$C$8</f>
        <v>392.172456481997</v>
      </c>
      <c r="Q29" s="89" t="n">
        <f aca="false">(C41+((G27+G28+(-G13*$L$29)+G32)*(1+Q$26)/(Hipotesis!$C$25-Q$26))/(1+Hipotesis!$C$25)^5+Hipotesis!$C$15+Hipotesis!$C$16-Hipotesis!$C$14)/Hipotesis!$C$8</f>
        <v>425.1471538587</v>
      </c>
    </row>
    <row r="30" customFormat="false" ht="15" hidden="false" customHeight="true" outlineLevel="0" collapsed="false">
      <c r="B30" s="69" t="s">
        <v>394</v>
      </c>
      <c r="C30" s="80" t="n">
        <f aca="false">-C13*Hipotesis!C39</f>
        <v>-106880.93625</v>
      </c>
      <c r="D30" s="80" t="n">
        <f aca="false">-D13*Hipotesis!D39</f>
        <v>-109211.2197845</v>
      </c>
      <c r="E30" s="80" t="n">
        <f aca="false">-E13*Hipotesis!E39</f>
        <v>-101669.42607587</v>
      </c>
      <c r="F30" s="80" t="n">
        <f aca="false">-F13*Hipotesis!F39</f>
        <v>-97572.372258856</v>
      </c>
      <c r="G30" s="80" t="n">
        <f aca="false">-G13*Hipotesis!G39</f>
        <v>-94454.1235850393</v>
      </c>
      <c r="H30" s="80" t="n">
        <f aca="false">-H13*Hipotesis!H39</f>
        <v>-84459.2942314834</v>
      </c>
      <c r="L30" s="87" t="n">
        <v>0.175</v>
      </c>
      <c r="M30" s="89" t="n">
        <f aca="false">(C41+((G27+G28+(-G13*$L$30)+G32)*(1+M$26)/(Hipotesis!$C$25-M$26))/(1+Hipotesis!$C$25)^5+Hipotesis!$C$15+Hipotesis!$C$16-Hipotesis!$C$14)/Hipotesis!$C$8</f>
        <v>304.212891886051</v>
      </c>
      <c r="N30" s="89" t="n">
        <f aca="false">(C41+((G27+G28+(-G13*$L$30)+G32)*(1+N$26)/(Hipotesis!$C$25-N$26))/(1+Hipotesis!$C$25)^5+Hipotesis!$C$15+Hipotesis!$C$16-Hipotesis!$C$14)/Hipotesis!$C$8</f>
        <v>322.992595770207</v>
      </c>
      <c r="O30" s="89" t="n">
        <f aca="false">(C41+((G27+G28+(-G13*$L$30)+G32)*(1+O$26)/(Hipotesis!$C$25-O$26))/(1+Hipotesis!$C$25)^5+Hipotesis!$C$15+Hipotesis!$C$16-Hipotesis!$C$14)/Hipotesis!$C$8</f>
        <v>344.83883446553</v>
      </c>
      <c r="P30" s="89" t="n">
        <f aca="false">(C41+((G27+G28+(-G13*$L$30)+G32)*(1+P$26)/(Hipotesis!$C$25-P$26))/(1+Hipotesis!$C$25)^5+Hipotesis!$C$15+Hipotesis!$C$16-Hipotesis!$C$14)/Hipotesis!$C$8</f>
        <v>370.569484386067</v>
      </c>
      <c r="Q30" s="89" t="n">
        <f aca="false">(C41+((G27+G28+(-G13*$L$30)+G32)*(1+Q$26)/(Hipotesis!$C$25-Q$26))/(1+Hipotesis!$C$25)^5+Hipotesis!$C$15+Hipotesis!$C$16-Hipotesis!$C$14)/Hipotesis!$C$8</f>
        <v>401.321650547457</v>
      </c>
    </row>
    <row r="31" customFormat="false" ht="15" hidden="false" customHeight="true" outlineLevel="0" collapsed="false">
      <c r="B31" s="72" t="s">
        <v>283</v>
      </c>
      <c r="C31" s="74" t="n">
        <f aca="false">-C30/C13</f>
        <v>0.33</v>
      </c>
      <c r="D31" s="74" t="n">
        <f aca="false">-D30/D13</f>
        <v>0.29</v>
      </c>
      <c r="E31" s="74" t="n">
        <f aca="false">-E30/E13</f>
        <v>0.235</v>
      </c>
      <c r="F31" s="74" t="n">
        <f aca="false">-F30/F13</f>
        <v>0.2</v>
      </c>
      <c r="G31" s="74" t="n">
        <f aca="false">-G30/G13</f>
        <v>0.175</v>
      </c>
      <c r="H31" s="74" t="n">
        <f aca="false">-H30/H13</f>
        <v>0.15</v>
      </c>
      <c r="L31" s="87" t="n">
        <v>0.2</v>
      </c>
      <c r="M31" s="89" t="n">
        <f aca="false">(C41+((G27+G28+(-G13*$L$31)+G32)*(1+M$26)/(Hipotesis!$C$25-M$26))/(1+Hipotesis!$C$25)^5+Hipotesis!$C$15+Hipotesis!$C$16-Hipotesis!$C$14)/Hipotesis!$C$8</f>
        <v>287.405666450669</v>
      </c>
      <c r="N31" s="89" t="n">
        <f aca="false">(C41+((G27+G28+(-G13*$L$31)+G32)*(1+N$26)/(Hipotesis!$C$25-N$26))/(1+Hipotesis!$C$25)^5+Hipotesis!$C$15+Hipotesis!$C$16-Hipotesis!$C$14)/Hipotesis!$C$8</f>
        <v>304.828117064345</v>
      </c>
      <c r="O31" s="89" t="n">
        <f aca="false">(C41+((G27+G28+(-G13*$L$31)+G32)*(1+O$26)/(Hipotesis!$C$25-O$26))/(1+Hipotesis!$C$25)^5+Hipotesis!$C$15+Hipotesis!$C$16-Hipotesis!$C$14)/Hipotesis!$C$8</f>
        <v>325.095476822077</v>
      </c>
      <c r="P31" s="89" t="n">
        <f aca="false">(C41+((G27+G28+(-G13*$L$31)+G32)*(1+P$26)/(Hipotesis!$C$25-P$26))/(1+Hipotesis!$C$25)^5+Hipotesis!$C$15+Hipotesis!$C$16-Hipotesis!$C$14)/Hipotesis!$C$8</f>
        <v>348.966512290137</v>
      </c>
      <c r="Q31" s="89" t="n">
        <f aca="false">(C41+((G27+G28+(-G13*$L$31)+G32)*(1+Q$26)/(Hipotesis!$C$25-Q$26))/(1+Hipotesis!$C$25)^5+Hipotesis!$C$15+Hipotesis!$C$16-Hipotesis!$C$14)/Hipotesis!$C$8</f>
        <v>377.496147236214</v>
      </c>
    </row>
    <row r="32" customFormat="false" ht="15" hidden="false" customHeight="true" outlineLevel="0" collapsed="false">
      <c r="B32" s="69" t="s">
        <v>395</v>
      </c>
      <c r="C32" s="80" t="n">
        <f aca="false">-C13*Hipotesis!C42</f>
        <v>1619.408125</v>
      </c>
      <c r="D32" s="80" t="n">
        <f aca="false">-D13*Hipotesis!D42</f>
        <v>1882.95206525</v>
      </c>
      <c r="E32" s="80" t="n">
        <f aca="false">-E13*Hipotesis!E42</f>
        <v>-0</v>
      </c>
      <c r="F32" s="80" t="n">
        <f aca="false">-F13*Hipotesis!F42</f>
        <v>-0</v>
      </c>
      <c r="G32" s="80" t="n">
        <f aca="false">-G13*Hipotesis!G42</f>
        <v>-0</v>
      </c>
      <c r="H32" s="80" t="n">
        <f aca="false">-H13*Hipotesis!H42</f>
        <v>-0</v>
      </c>
    </row>
    <row r="33" customFormat="false" ht="15" hidden="false" customHeight="true" outlineLevel="0" collapsed="false">
      <c r="B33" s="63" t="s">
        <v>396</v>
      </c>
      <c r="C33" s="91" t="n">
        <f aca="false">C27+C28+C30+C32</f>
        <v>51882.790495</v>
      </c>
      <c r="D33" s="91" t="n">
        <f aca="false">D27+D28+D30+D32</f>
        <v>81195.64459544</v>
      </c>
      <c r="E33" s="91" t="n">
        <f aca="false">E27+E28+E30+E32</f>
        <v>121918.956744692</v>
      </c>
      <c r="F33" s="91" t="n">
        <f aca="false">F27+F28+F30+F32</f>
        <v>157020.111315828</v>
      </c>
      <c r="G33" s="91" t="n">
        <f aca="false">G27+G28+G30+G32</f>
        <v>186702.754762718</v>
      </c>
      <c r="H33" s="91" t="n">
        <f aca="false">H27+H28+H30+H32</f>
        <v>208469.392151995</v>
      </c>
      <c r="L33" s="79" t="s">
        <v>397</v>
      </c>
      <c r="M33" s="79"/>
      <c r="N33" s="79"/>
      <c r="O33" s="79"/>
      <c r="P33" s="79"/>
      <c r="Q33" s="79"/>
      <c r="R33" s="79"/>
    </row>
    <row r="34" customFormat="false" ht="15" hidden="false" customHeight="true" outlineLevel="0" collapsed="false">
      <c r="B34" s="72" t="s">
        <v>398</v>
      </c>
      <c r="C34" s="74" t="n">
        <f aca="false">C33/C13</f>
        <v>0.160190595854272</v>
      </c>
      <c r="D34" s="74" t="n">
        <f aca="false">D33/D13</f>
        <v>0.215607306457532</v>
      </c>
      <c r="E34" s="74" t="n">
        <f aca="false">E33/E13</f>
        <v>0.281805021832445</v>
      </c>
      <c r="F34" s="74" t="n">
        <f aca="false">F33/F13</f>
        <v>0.321853630655323</v>
      </c>
      <c r="G34" s="74" t="n">
        <f aca="false">G33/G13</f>
        <v>0.345913771081254</v>
      </c>
      <c r="H34" s="74" t="n">
        <f aca="false">H33/H13</f>
        <v>0.370242364766799</v>
      </c>
    </row>
    <row r="35" customFormat="false" ht="15" hidden="false" customHeight="true" outlineLevel="0" collapsed="false">
      <c r="B35" s="72" t="s">
        <v>399</v>
      </c>
      <c r="C35" s="74" t="n">
        <f aca="false">C33/C27</f>
        <v>0.435075196536728</v>
      </c>
      <c r="D35" s="74" t="n">
        <f aca="false">D33/D27</f>
        <v>0.589723735410568</v>
      </c>
      <c r="E35" s="74" t="n">
        <f aca="false">E33/E27</f>
        <v>0.768269257668921</v>
      </c>
      <c r="F35" s="74" t="n">
        <f aca="false">F33/F27</f>
        <v>0.865538491820332</v>
      </c>
      <c r="G35" s="74" t="n">
        <f aca="false">G33/G27</f>
        <v>0.920194463975848</v>
      </c>
      <c r="H35" s="74" t="n">
        <f aca="false">H33/H27</f>
        <v>0.973700984091731</v>
      </c>
      <c r="L35" s="67" t="s">
        <v>400</v>
      </c>
      <c r="M35" s="92" t="n">
        <v>16</v>
      </c>
      <c r="N35" s="92" t="n">
        <v>18</v>
      </c>
      <c r="O35" s="92" t="n">
        <v>20</v>
      </c>
      <c r="P35" s="92" t="n">
        <v>22</v>
      </c>
      <c r="Q35" s="92" t="n">
        <v>24</v>
      </c>
    </row>
    <row r="36" customFormat="false" ht="15" hidden="false" customHeight="true" outlineLevel="0" collapsed="false">
      <c r="L36" s="88" t="n">
        <v>0.075</v>
      </c>
      <c r="M36" s="89" t="n">
        <f aca="false">((C33/(1+$L$36)^0.5 + D33/(1+$L$36)^1.5 + E33/(1+$L$36)^2.5 + F33/(1+$L$36)^3.5 + G33/(1+$L$36)^4.5)+(M$35*(G23+G28))/(1+$L$36)^5+Hipotesis!$C$15+Hipotesis!$C$16-Hipotesis!$C$14)/Hipotesis!$C$8</f>
        <v>563.099419039337</v>
      </c>
      <c r="N36" s="89" t="n">
        <f aca="false">((C33/(1+$L$36)^0.5 + D33/(1+$L$36)^1.5 + E33/(1+$L$36)^2.5 + F33/(1+$L$36)^3.5 + G33/(1+$L$36)^4.5)+(N$35*(G23+G28))/(1+$L$36)^5+Hipotesis!$C$15+Hipotesis!$C$16-Hipotesis!$C$14)/Hipotesis!$C$8</f>
        <v>624.180004703585</v>
      </c>
      <c r="O36" s="89" t="n">
        <f aca="false">((C33/(1+$L$36)^0.5 + D33/(1+$L$36)^1.5 + E33/(1+$L$36)^2.5 + F33/(1+$L$36)^3.5 + G33/(1+$L$36)^4.5)+(O$35*(G23+G28))/(1+$L$36)^5+Hipotesis!$C$15+Hipotesis!$C$16-Hipotesis!$C$14)/Hipotesis!$C$8</f>
        <v>685.260590367833</v>
      </c>
      <c r="P36" s="89" t="n">
        <f aca="false">((C33/(1+$L$36)^0.5 + D33/(1+$L$36)^1.5 + E33/(1+$L$36)^2.5 + F33/(1+$L$36)^3.5 + G33/(1+$L$36)^4.5)+(P$35*(G23+G28))/(1+$L$36)^5+Hipotesis!$C$15+Hipotesis!$C$16-Hipotesis!$C$14)/Hipotesis!$C$8</f>
        <v>746.341176032082</v>
      </c>
      <c r="Q36" s="89" t="n">
        <f aca="false">((C33/(1+$L$36)^0.5 + D33/(1+$L$36)^1.5 + E33/(1+$L$36)^2.5 + F33/(1+$L$36)^3.5 + G33/(1+$L$36)^4.5)+(Q$35*(G23+G28))/(1+$L$36)^5+Hipotesis!$C$15+Hipotesis!$C$16-Hipotesis!$C$14)/Hipotesis!$C$8</f>
        <v>807.42176169633</v>
      </c>
    </row>
    <row r="37" customFormat="false" ht="15" hidden="false" customHeight="true" outlineLevel="0" collapsed="false">
      <c r="B37" s="68" t="s">
        <v>401</v>
      </c>
      <c r="C37" s="68"/>
      <c r="D37" s="68"/>
      <c r="E37" s="68"/>
      <c r="F37" s="68"/>
      <c r="G37" s="68"/>
      <c r="H37" s="68"/>
      <c r="L37" s="88" t="n">
        <v>0.085</v>
      </c>
      <c r="M37" s="89" t="n">
        <f aca="false">((C33/(1+$L$37)^0.5 + D33/(1+$L$37)^1.5 + E33/(1+$L$37)^2.5 + F33/(1+$L$37)^3.5 + G33/(1+$L$37)^4.5)+(M$35*(G23+G28))/(1+$L$37)^5+Hipotesis!$C$15+Hipotesis!$C$16-Hipotesis!$C$14)/Hipotesis!$C$8</f>
        <v>539.248586788978</v>
      </c>
      <c r="N37" s="89" t="n">
        <f aca="false">((C33/(1+$L$37)^0.5 + D33/(1+$L$37)^1.5 + E33/(1+$L$37)^2.5 + F33/(1+$L$37)^3.5 + G33/(1+$L$37)^4.5)+(N$35*(G23+G28))/(1+$L$37)^5+Hipotesis!$C$15+Hipotesis!$C$16-Hipotesis!$C$14)/Hipotesis!$C$8</f>
        <v>597.56580814152</v>
      </c>
      <c r="O37" s="89" t="n">
        <f aca="false">((C33/(1+$L$37)^0.5 + D33/(1+$L$37)^1.5 + E33/(1+$L$37)^2.5 + F33/(1+$L$37)^3.5 + G33/(1+$L$37)^4.5)+(O$35*(G23+G28))/(1+$L$37)^5+Hipotesis!$C$15+Hipotesis!$C$16-Hipotesis!$C$14)/Hipotesis!$C$8</f>
        <v>655.883029494062</v>
      </c>
      <c r="P37" s="89" t="n">
        <f aca="false">((C33/(1+$L$37)^0.5 + D33/(1+$L$37)^1.5 + E33/(1+$L$37)^2.5 + F33/(1+$L$37)^3.5 + G33/(1+$L$37)^4.5)+(P$35*(G23+G28))/(1+$L$37)^5+Hipotesis!$C$15+Hipotesis!$C$16-Hipotesis!$C$14)/Hipotesis!$C$8</f>
        <v>714.200250846604</v>
      </c>
      <c r="Q37" s="89" t="n">
        <f aca="false">((C33/(1+$L$37)^0.5 + D33/(1+$L$37)^1.5 + E33/(1+$L$37)^2.5 + F33/(1+$L$37)^3.5 + G33/(1+$L$37)^4.5)+(Q$35*(G23+G28))/(1+$L$37)^5+Hipotesis!$C$15+Hipotesis!$C$16-Hipotesis!$C$14)/Hipotesis!$C$8</f>
        <v>772.517472199146</v>
      </c>
    </row>
    <row r="38" customFormat="false" ht="15" hidden="false" customHeight="true" outlineLevel="0" collapsed="false">
      <c r="B38" s="69" t="s">
        <v>402</v>
      </c>
      <c r="C38" s="93" t="n">
        <v>0.5</v>
      </c>
      <c r="D38" s="93" t="n">
        <v>1.5</v>
      </c>
      <c r="E38" s="93" t="n">
        <v>2.5</v>
      </c>
      <c r="F38" s="93" t="n">
        <v>3.5</v>
      </c>
      <c r="G38" s="93" t="n">
        <v>4.5</v>
      </c>
      <c r="H38" s="94" t="s">
        <v>403</v>
      </c>
      <c r="L38" s="88" t="n">
        <v>0.0912</v>
      </c>
      <c r="M38" s="89" t="n">
        <f aca="false">((C33/(1+$L$38)^0.5 + D33/(1+$L$38)^1.5 + E33/(1+$L$38)^2.5 + F33/(1+$L$38)^3.5 + G33/(1+$L$38)^4.5)+(M$35*(G23+G28))/(1+$L$38)^5+Hipotesis!$C$15+Hipotesis!$C$16-Hipotesis!$C$14)/Hipotesis!$C$8</f>
        <v>525.099267522805</v>
      </c>
      <c r="N38" s="89" t="n">
        <f aca="false">((C33/(1+$L$38)^0.5 + D33/(1+$L$38)^1.5 + E33/(1+$L$38)^2.5 + F33/(1+$L$38)^3.5 + G33/(1+$L$38)^4.5)+(N$35*(G23+G28))/(1+$L$38)^5+Hipotesis!$C$15+Hipotesis!$C$16-Hipotesis!$C$14)/Hipotesis!$C$8</f>
        <v>581.77846954901</v>
      </c>
      <c r="O38" s="90" t="n">
        <f aca="false">((C33/(1+$L$38)^0.5 + D33/(1+$L$38)^1.5 + E33/(1+$L$38)^2.5 + F33/(1+$L$38)^3.5 + G33/(1+$L$38)^4.5)+(O$35*(G23+G28))/(1+$L$38)^5+Hipotesis!$C$15+Hipotesis!$C$16-Hipotesis!$C$14)/Hipotesis!$C$8</f>
        <v>638.457671575216</v>
      </c>
      <c r="P38" s="89" t="n">
        <f aca="false">((C33/(1+$L$38)^0.5 + D33/(1+$L$38)^1.5 + E33/(1+$L$38)^2.5 + F33/(1+$L$38)^3.5 + G33/(1+$L$38)^4.5)+(P$35*(G23+G28))/(1+$L$38)^5+Hipotesis!$C$15+Hipotesis!$C$16-Hipotesis!$C$14)/Hipotesis!$C$8</f>
        <v>695.136873601421</v>
      </c>
      <c r="Q38" s="89" t="n">
        <f aca="false">((C33/(1+$L$38)^0.5 + D33/(1+$L$38)^1.5 + E33/(1+$L$38)^2.5 + F33/(1+$L$38)^3.5 + G33/(1+$L$38)^4.5)+(Q$35*(G23+G28))/(1+$L$38)^5+Hipotesis!$C$15+Hipotesis!$C$16-Hipotesis!$C$14)/Hipotesis!$C$8</f>
        <v>751.816075627626</v>
      </c>
    </row>
    <row r="39" customFormat="false" ht="15" hidden="false" customHeight="true" outlineLevel="0" collapsed="false">
      <c r="B39" s="69" t="s">
        <v>404</v>
      </c>
      <c r="C39" s="95" t="n">
        <f aca="false">1/(1+Hipotesis!$C$25)^C38</f>
        <v>0.957281580998452</v>
      </c>
      <c r="D39" s="95" t="n">
        <f aca="false">1/(1+Hipotesis!$C$25)^D38</f>
        <v>0.877241377685321</v>
      </c>
      <c r="E39" s="95" t="n">
        <f aca="false">1/(1+Hipotesis!$C$25)^E38</f>
        <v>0.803893493825079</v>
      </c>
      <c r="F39" s="95" t="n">
        <f aca="false">1/(1+Hipotesis!$C$25)^F38</f>
        <v>0.736678371373071</v>
      </c>
      <c r="G39" s="95" t="n">
        <f aca="false">1/(1+Hipotesis!$C$25)^G38</f>
        <v>0.675083238037708</v>
      </c>
      <c r="H39" s="78" t="s">
        <v>405</v>
      </c>
      <c r="L39" s="88" t="n">
        <v>0.1</v>
      </c>
      <c r="M39" s="89" t="n">
        <f aca="false">((C33/(1+$L$39)^0.5 + D33/(1+$L$39)^1.5 + E33/(1+$L$39)^2.5 + F33/(1+$L$39)^3.5 + G33/(1+$L$39)^4.5)+(M$35*(G23+G28))/(1+$L$39)^5+Hipotesis!$C$15+Hipotesis!$C$16-Hipotesis!$C$14)/Hipotesis!$C$8</f>
        <v>505.811695263548</v>
      </c>
      <c r="N39" s="89" t="n">
        <f aca="false">((C33/(1+$L$39)^0.5 + D33/(1+$L$39)^1.5 + E33/(1+$L$39)^2.5 + F33/(1+$L$39)^3.5 + G33/(1+$L$39)^4.5)+(N$35*(G23+G28))/(1+$L$39)^5+Hipotesis!$C$15+Hipotesis!$C$16-Hipotesis!$C$14)/Hipotesis!$C$8</f>
        <v>560.25971485942</v>
      </c>
      <c r="O39" s="89" t="n">
        <f aca="false">((C33/(1+$L$39)^0.5 + D33/(1+$L$39)^1.5 + E33/(1+$L$39)^2.5 + F33/(1+$L$39)^3.5 + G33/(1+$L$39)^4.5)+(O$35*(G23+G28))/(1+$L$39)^5+Hipotesis!$C$15+Hipotesis!$C$16-Hipotesis!$C$14)/Hipotesis!$C$8</f>
        <v>614.707734455292</v>
      </c>
      <c r="P39" s="89" t="n">
        <f aca="false">((C33/(1+$L$39)^0.5 + D33/(1+$L$39)^1.5 + E33/(1+$L$39)^2.5 + F33/(1+$L$39)^3.5 + G33/(1+$L$39)^4.5)+(P$35*(G23+G28))/(1+$L$39)^5+Hipotesis!$C$15+Hipotesis!$C$16-Hipotesis!$C$14)/Hipotesis!$C$8</f>
        <v>669.155754051165</v>
      </c>
      <c r="Q39" s="89" t="n">
        <f aca="false">((C33/(1+$L$39)^0.5 + D33/(1+$L$39)^1.5 + E33/(1+$L$39)^2.5 + F33/(1+$L$39)^3.5 + G33/(1+$L$39)^4.5)+(Q$35*(G23+G28))/(1+$L$39)^5+Hipotesis!$C$15+Hipotesis!$C$16-Hipotesis!$C$14)/Hipotesis!$C$8</f>
        <v>723.603773647037</v>
      </c>
    </row>
    <row r="40" customFormat="false" ht="15" hidden="false" customHeight="true" outlineLevel="0" collapsed="false">
      <c r="B40" s="69" t="s">
        <v>406</v>
      </c>
      <c r="C40" s="77" t="n">
        <f aca="false">C33*C39</f>
        <v>49666.4397116651</v>
      </c>
      <c r="D40" s="77" t="n">
        <f aca="false">D33*D39</f>
        <v>71228.1791269515</v>
      </c>
      <c r="E40" s="77" t="n">
        <f aca="false">E33*E39</f>
        <v>98009.8561009992</v>
      </c>
      <c r="F40" s="77" t="n">
        <f aca="false">F33*F39</f>
        <v>115673.319876962</v>
      </c>
      <c r="G40" s="77" t="n">
        <f aca="false">G33*G39</f>
        <v>126039.900235776</v>
      </c>
      <c r="H40" s="78" t="s">
        <v>407</v>
      </c>
      <c r="L40" s="88" t="n">
        <v>0.11</v>
      </c>
      <c r="M40" s="89" t="n">
        <f aca="false">((C33/(1+$L$40)^0.5 + D33/(1+$L$40)^1.5 + E33/(1+$L$40)^2.5 + F33/(1+$L$40)^3.5 + G33/(1+$L$40)^4.5)+(M$35*(G23+G28))/(1+$L$40)^5+Hipotesis!$C$15+Hipotesis!$C$16-Hipotesis!$C$14)/Hipotesis!$C$8</f>
        <v>484.968749893775</v>
      </c>
      <c r="N40" s="89" t="n">
        <f aca="false">((C33/(1+$L$40)^0.5 + D33/(1+$L$40)^1.5 + E33/(1+$L$40)^2.5 + F33/(1+$L$40)^3.5 + G33/(1+$L$40)^4.5)+(N$35*(G23+G28))/(1+$L$40)^5+Hipotesis!$C$15+Hipotesis!$C$16-Hipotesis!$C$14)/Hipotesis!$C$8</f>
        <v>537.007950899359</v>
      </c>
      <c r="O40" s="89" t="n">
        <f aca="false">((C33/(1+$L$40)^0.5 + D33/(1+$L$40)^1.5 + E33/(1+$L$40)^2.5 + F33/(1+$L$40)^3.5 + G33/(1+$L$40)^4.5)+(O$35*(G23+G28))/(1+$L$40)^5+Hipotesis!$C$15+Hipotesis!$C$16-Hipotesis!$C$14)/Hipotesis!$C$8</f>
        <v>589.047151904944</v>
      </c>
      <c r="P40" s="89" t="n">
        <f aca="false">((C33/(1+$L$40)^0.5 + D33/(1+$L$40)^1.5 + E33/(1+$L$40)^2.5 + F33/(1+$L$40)^3.5 + G33/(1+$L$40)^4.5)+(P$35*(G23+G28))/(1+$L$40)^5+Hipotesis!$C$15+Hipotesis!$C$16-Hipotesis!$C$14)/Hipotesis!$C$8</f>
        <v>641.086352910528</v>
      </c>
      <c r="Q40" s="89" t="n">
        <f aca="false">((C33/(1+$L$40)^0.5 + D33/(1+$L$40)^1.5 + E33/(1+$L$40)^2.5 + F33/(1+$L$40)^3.5 + G33/(1+$L$40)^4.5)+(Q$35*(G23+G28))/(1+$L$40)^5+Hipotesis!$C$15+Hipotesis!$C$16-Hipotesis!$C$14)/Hipotesis!$C$8</f>
        <v>693.125553916112</v>
      </c>
    </row>
    <row r="41" customFormat="false" ht="15" hidden="false" customHeight="true" outlineLevel="0" collapsed="false">
      <c r="B41" s="63" t="s">
        <v>408</v>
      </c>
      <c r="C41" s="91" t="n">
        <f aca="false">SUM(C40:G40)</f>
        <v>460617.695052354</v>
      </c>
    </row>
    <row r="43" customFormat="false" ht="15" hidden="false" customHeight="true" outlineLevel="0" collapsed="false">
      <c r="B43" s="68" t="s">
        <v>409</v>
      </c>
      <c r="C43" s="68"/>
      <c r="D43" s="68"/>
      <c r="E43" s="68"/>
      <c r="F43" s="68"/>
      <c r="G43" s="68"/>
      <c r="H43" s="68"/>
    </row>
    <row r="44" customFormat="false" ht="15" hidden="false" customHeight="true" outlineLevel="0" collapsed="false">
      <c r="B44" s="69" t="s">
        <v>410</v>
      </c>
      <c r="C44" s="77" t="n">
        <f aca="false">G33*(1+Hipotesis!$C$47)/(Hipotesis!$C$25-Hipotesis!$C$47)</f>
        <v>3140126.25205944</v>
      </c>
      <c r="D44" s="71" t="s">
        <v>411</v>
      </c>
      <c r="G44" s="77" t="n">
        <f aca="false">C44*G39</f>
        <v>2119846.5980875</v>
      </c>
      <c r="H44" s="71" t="s">
        <v>412</v>
      </c>
    </row>
    <row r="45" customFormat="false" ht="15" hidden="false" customHeight="true" outlineLevel="0" collapsed="false">
      <c r="B45" s="69" t="s">
        <v>413</v>
      </c>
      <c r="C45" s="77" t="n">
        <f aca="false">Hipotesis!$C$50*(G23+G28)</f>
        <v>5862506.05947864</v>
      </c>
      <c r="D45" s="94" t="s">
        <v>414</v>
      </c>
      <c r="G45" s="77" t="n">
        <f aca="false">C45*G39</f>
        <v>3957679.57364853</v>
      </c>
    </row>
    <row r="46" customFormat="false" ht="15" hidden="false" customHeight="true" outlineLevel="0" collapsed="false">
      <c r="B46" s="69" t="s">
        <v>415</v>
      </c>
      <c r="C46" s="77" t="n">
        <f aca="false">Hipotesis!$C$51*G23</f>
        <v>5443521.44531423</v>
      </c>
      <c r="D46" s="94" t="s">
        <v>414</v>
      </c>
      <c r="G46" s="77" t="n">
        <f aca="false">C46*G39</f>
        <v>3674830.08363044</v>
      </c>
    </row>
    <row r="47" customFormat="false" ht="15" hidden="false" customHeight="true" outlineLevel="0" collapsed="false">
      <c r="B47" s="69" t="s">
        <v>416</v>
      </c>
      <c r="C47" s="77" t="n">
        <f aca="false">(G33*(1+Hipotesis!$C$47)+G33*Hipotesis!$C$48*(G14-Hipotesis!$C$47))/(Hipotesis!$C$25-Hipotesis!$C$47)</f>
        <v>4303700.85049435</v>
      </c>
      <c r="D47" s="94" t="s">
        <v>417</v>
      </c>
      <c r="G47" s="77" t="n">
        <f aca="false">C47*G39</f>
        <v>2905356.30569737</v>
      </c>
    </row>
    <row r="48" customFormat="false" ht="15" hidden="false" customHeight="true" outlineLevel="0" collapsed="false">
      <c r="B48" s="69" t="s">
        <v>418</v>
      </c>
      <c r="C48" s="77" t="n">
        <f aca="false">Hipotesis!$C$52*G13</f>
        <v>4317902.79245894</v>
      </c>
      <c r="D48" s="94" t="s">
        <v>419</v>
      </c>
      <c r="G48" s="77" t="n">
        <f aca="false">C48*G39</f>
        <v>2914943.79866524</v>
      </c>
    </row>
    <row r="50" customFormat="false" ht="15" hidden="false" customHeight="true" outlineLevel="0" collapsed="false">
      <c r="B50" s="68" t="s">
        <v>420</v>
      </c>
      <c r="C50" s="68"/>
      <c r="D50" s="68"/>
      <c r="E50" s="68"/>
      <c r="F50" s="68"/>
      <c r="G50" s="68"/>
      <c r="H50" s="68"/>
      <c r="I50" s="68"/>
      <c r="J50" s="68"/>
    </row>
    <row r="51" customFormat="false" ht="15" hidden="false" customHeight="true" outlineLevel="0" collapsed="false">
      <c r="B51" s="67" t="s">
        <v>421</v>
      </c>
      <c r="C51" s="67" t="s">
        <v>422</v>
      </c>
      <c r="D51" s="67" t="s">
        <v>423</v>
      </c>
      <c r="E51" s="67" t="s">
        <v>424</v>
      </c>
      <c r="F51" s="67" t="s">
        <v>425</v>
      </c>
      <c r="G51" s="67" t="s">
        <v>426</v>
      </c>
      <c r="H51" s="67" t="s">
        <v>427</v>
      </c>
      <c r="I51" s="67" t="s">
        <v>428</v>
      </c>
    </row>
    <row r="52" customFormat="false" ht="15" hidden="false" customHeight="true" outlineLevel="0" collapsed="false">
      <c r="B52" s="69" t="s">
        <v>108</v>
      </c>
      <c r="C52" s="77" t="n">
        <f aca="false">C41+G44</f>
        <v>2580464.29313985</v>
      </c>
      <c r="D52" s="77" t="n">
        <f aca="false">Hipotesis!$C$15</f>
        <v>78272</v>
      </c>
      <c r="E52" s="80" t="n">
        <f aca="false">-Hipotesis!$C$14</f>
        <v>-40262</v>
      </c>
      <c r="F52" s="77" t="n">
        <f aca="false">Hipotesis!$C$16</f>
        <v>33683</v>
      </c>
      <c r="G52" s="91" t="n">
        <f aca="false">C52+D52+E52+F52</f>
        <v>2652157.29313985</v>
      </c>
      <c r="H52" s="96" t="n">
        <f aca="false">Hipotesis!$C$8</f>
        <v>7428.4</v>
      </c>
      <c r="I52" s="97" t="n">
        <f aca="false">G52/H52</f>
        <v>357.029413216824</v>
      </c>
      <c r="J52" s="97" t="n">
        <f aca="false">I52</f>
        <v>357.029413216824</v>
      </c>
    </row>
    <row r="53" customFormat="false" ht="15" hidden="false" customHeight="true" outlineLevel="0" collapsed="false">
      <c r="B53" s="69" t="s">
        <v>109</v>
      </c>
      <c r="C53" s="77" t="n">
        <f aca="false">G47</f>
        <v>2905356.30569737</v>
      </c>
      <c r="D53" s="77" t="n">
        <f aca="false">Hipotesis!$C$15</f>
        <v>78272</v>
      </c>
      <c r="E53" s="80" t="n">
        <f aca="false">-Hipotesis!$C$14</f>
        <v>-40262</v>
      </c>
      <c r="F53" s="77" t="n">
        <f aca="false">Hipotesis!$C$16</f>
        <v>33683</v>
      </c>
      <c r="G53" s="91" t="n">
        <f aca="false">C53+D53+E53+F53</f>
        <v>2977049.30569737</v>
      </c>
      <c r="H53" s="96" t="n">
        <f aca="false">Hipotesis!$C$8</f>
        <v>7428.4</v>
      </c>
      <c r="I53" s="97" t="n">
        <f aca="false">G53/H53</f>
        <v>400.765885748932</v>
      </c>
      <c r="J53" s="97" t="n">
        <f aca="false">I53</f>
        <v>400.765885748932</v>
      </c>
    </row>
    <row r="54" customFormat="false" ht="15" hidden="false" customHeight="true" outlineLevel="0" collapsed="false">
      <c r="B54" s="69" t="s">
        <v>110</v>
      </c>
      <c r="C54" s="77" t="n">
        <f aca="false">C41+G45</f>
        <v>4418297.26870088</v>
      </c>
      <c r="D54" s="77" t="n">
        <f aca="false">Hipotesis!$C$15</f>
        <v>78272</v>
      </c>
      <c r="E54" s="80" t="n">
        <f aca="false">-Hipotesis!$C$14</f>
        <v>-40262</v>
      </c>
      <c r="F54" s="77" t="n">
        <f aca="false">Hipotesis!$C$16</f>
        <v>33683</v>
      </c>
      <c r="G54" s="91" t="n">
        <f aca="false">C54+D54+E54+F54</f>
        <v>4489990.26870088</v>
      </c>
      <c r="H54" s="96" t="n">
        <f aca="false">Hipotesis!$C$8</f>
        <v>7428.4</v>
      </c>
      <c r="I54" s="97" t="n">
        <f aca="false">G54/H54</f>
        <v>604.435715457014</v>
      </c>
      <c r="J54" s="97" t="n">
        <f aca="false">I54</f>
        <v>604.435715457014</v>
      </c>
    </row>
    <row r="55" customFormat="false" ht="15" hidden="false" customHeight="true" outlineLevel="0" collapsed="false">
      <c r="B55" s="69" t="s">
        <v>111</v>
      </c>
      <c r="C55" s="77" t="n">
        <f aca="false">C41+G46</f>
        <v>4135447.77868279</v>
      </c>
      <c r="D55" s="77" t="n">
        <f aca="false">Hipotesis!$C$15</f>
        <v>78272</v>
      </c>
      <c r="E55" s="80" t="n">
        <f aca="false">-Hipotesis!$C$14</f>
        <v>-40262</v>
      </c>
      <c r="F55" s="77" t="n">
        <f aca="false">Hipotesis!$C$16</f>
        <v>33683</v>
      </c>
      <c r="G55" s="91" t="n">
        <f aca="false">C55+D55+E55+F55</f>
        <v>4207140.77868279</v>
      </c>
      <c r="H55" s="96" t="n">
        <f aca="false">Hipotesis!$C$8</f>
        <v>7428.4</v>
      </c>
      <c r="I55" s="97" t="n">
        <f aca="false">G55/H55</f>
        <v>566.358943875234</v>
      </c>
      <c r="J55" s="97" t="n">
        <f aca="false">I55</f>
        <v>566.358943875234</v>
      </c>
    </row>
    <row r="56" customFormat="false" ht="15" hidden="false" customHeight="true" outlineLevel="0" collapsed="false">
      <c r="B56" s="69" t="s">
        <v>112</v>
      </c>
      <c r="C56" s="77" t="n">
        <f aca="false">C41+G48</f>
        <v>3375561.4937176</v>
      </c>
      <c r="D56" s="77" t="n">
        <f aca="false">Hipotesis!$C$15</f>
        <v>78272</v>
      </c>
      <c r="E56" s="80" t="n">
        <f aca="false">-Hipotesis!$C$14</f>
        <v>-40262</v>
      </c>
      <c r="F56" s="77" t="n">
        <f aca="false">Hipotesis!$C$16</f>
        <v>33683</v>
      </c>
      <c r="G56" s="91" t="n">
        <f aca="false">C56+D56+E56+F56</f>
        <v>3447254.4937176</v>
      </c>
      <c r="H56" s="96" t="n">
        <f aca="false">Hipotesis!$C$8</f>
        <v>7428.4</v>
      </c>
      <c r="I56" s="97" t="n">
        <f aca="false">G56/H56</f>
        <v>464.064198712724</v>
      </c>
      <c r="J56" s="97" t="n">
        <f aca="false">I56</f>
        <v>464.064198712724</v>
      </c>
    </row>
    <row r="57" customFormat="false" ht="15" hidden="false" customHeight="true" outlineLevel="0" collapsed="false">
      <c r="B57" s="69" t="s">
        <v>113</v>
      </c>
      <c r="C57" s="94" t="s">
        <v>405</v>
      </c>
      <c r="D57" s="94" t="s">
        <v>405</v>
      </c>
      <c r="E57" s="94" t="s">
        <v>405</v>
      </c>
      <c r="F57" s="94" t="s">
        <v>405</v>
      </c>
      <c r="G57" s="77" t="n">
        <f aca="false">Hipotesis!$C$53*D27</f>
        <v>3442105.1638235</v>
      </c>
      <c r="H57" s="96" t="n">
        <f aca="false">Hipotesis!$C$8</f>
        <v>7428.4</v>
      </c>
      <c r="I57" s="97" t="n">
        <f aca="false">G57/H57</f>
        <v>463.37100369171</v>
      </c>
      <c r="J57" s="97" t="n">
        <f aca="false">I57</f>
        <v>463.37100369171</v>
      </c>
    </row>
    <row r="58" customFormat="false" ht="15" hidden="false" customHeight="true" outlineLevel="0" collapsed="false">
      <c r="B58" s="69" t="s">
        <v>114</v>
      </c>
      <c r="C58" s="77" t="n">
        <f aca="false">Hipotesis!$C$50*(D23+D28)</f>
        <v>3937450.9451175</v>
      </c>
      <c r="D58" s="77" t="n">
        <f aca="false">Hipotesis!$C$15</f>
        <v>78272</v>
      </c>
      <c r="E58" s="80" t="n">
        <f aca="false">-Hipotesis!$C$14</f>
        <v>-40262</v>
      </c>
      <c r="F58" s="77" t="n">
        <f aca="false">Hipotesis!$C$16</f>
        <v>33683</v>
      </c>
      <c r="G58" s="91" t="n">
        <f aca="false">C58+D58+E58+F58</f>
        <v>4009143.9451175</v>
      </c>
      <c r="H58" s="96" t="n">
        <f aca="false">Hipotesis!$C$8</f>
        <v>7428.4</v>
      </c>
      <c r="I58" s="97" t="n">
        <f aca="false">G58/H58</f>
        <v>539.704908879099</v>
      </c>
      <c r="J58" s="97" t="n">
        <f aca="false">I58</f>
        <v>539.704908879099</v>
      </c>
    </row>
    <row r="59" customFormat="false" ht="15" hidden="false" customHeight="true" outlineLevel="0" collapsed="false">
      <c r="B59" s="69" t="s">
        <v>115</v>
      </c>
      <c r="C59" s="77" t="n">
        <f aca="false">Hipotesis!$C$52*D13</f>
        <v>3012723.3044</v>
      </c>
      <c r="D59" s="77" t="n">
        <f aca="false">Hipotesis!$C$15</f>
        <v>78272</v>
      </c>
      <c r="E59" s="80" t="n">
        <f aca="false">-Hipotesis!$C$14</f>
        <v>-40262</v>
      </c>
      <c r="F59" s="77" t="n">
        <f aca="false">Hipotesis!$C$16</f>
        <v>33683</v>
      </c>
      <c r="G59" s="91" t="n">
        <f aca="false">C59+D59+E59+F59</f>
        <v>3084416.3044</v>
      </c>
      <c r="H59" s="96" t="n">
        <f aca="false">Hipotesis!$C$8</f>
        <v>7428.4</v>
      </c>
      <c r="I59" s="97" t="n">
        <f aca="false">G59/H59</f>
        <v>415.219469118518</v>
      </c>
      <c r="J59" s="97" t="n">
        <f aca="false">I59</f>
        <v>415.219469118518</v>
      </c>
    </row>
    <row r="61" customFormat="false" ht="15" hidden="false" customHeight="true" outlineLevel="0" collapsed="false">
      <c r="B61" s="68" t="s">
        <v>429</v>
      </c>
      <c r="C61" s="68"/>
      <c r="D61" s="68"/>
      <c r="E61" s="68"/>
      <c r="F61" s="68"/>
      <c r="G61" s="68"/>
      <c r="H61" s="68"/>
      <c r="I61" s="68"/>
      <c r="J61" s="68"/>
    </row>
    <row r="62" customFormat="false" ht="15" hidden="false" customHeight="true" outlineLevel="0" collapsed="false">
      <c r="B62" s="63" t="s">
        <v>430</v>
      </c>
      <c r="J62" s="98" t="n">
        <f aca="false">AVERAGE(J52:J59)</f>
        <v>476.368692337507</v>
      </c>
    </row>
    <row r="63" customFormat="false" ht="15" hidden="false" customHeight="true" outlineLevel="0" collapsed="false">
      <c r="B63" s="63" t="s">
        <v>431</v>
      </c>
      <c r="J63" s="99" t="n">
        <f aca="false">MEDIAN(J52:J59)</f>
        <v>463.717601202217</v>
      </c>
    </row>
    <row r="64" customFormat="false" ht="15" hidden="false" customHeight="true" outlineLevel="0" collapsed="false">
      <c r="B64" s="63" t="s">
        <v>432</v>
      </c>
      <c r="J64" s="98" t="n">
        <f aca="false">MIN(J52:J59)</f>
        <v>357.029413216824</v>
      </c>
    </row>
    <row r="65" customFormat="false" ht="15" hidden="false" customHeight="true" outlineLevel="0" collapsed="false">
      <c r="B65" s="63" t="s">
        <v>433</v>
      </c>
      <c r="J65" s="98" t="n">
        <f aca="false">MAX(J52:J59)</f>
        <v>604.435715457014</v>
      </c>
    </row>
    <row r="66" customFormat="false" ht="15" hidden="false" customHeight="true" outlineLevel="0" collapsed="false">
      <c r="B66" s="63" t="s">
        <v>434</v>
      </c>
      <c r="J66" s="98" t="n">
        <f aca="false">Hipotesis!$C$6</f>
        <v>408</v>
      </c>
    </row>
    <row r="67" customFormat="false" ht="15" hidden="false" customHeight="true" outlineLevel="0" collapsed="false">
      <c r="B67" s="63" t="s">
        <v>435</v>
      </c>
      <c r="J67" s="100" t="n">
        <f aca="false">J63/J66-1</f>
        <v>0.13656274804465</v>
      </c>
    </row>
  </sheetData>
  <mergeCells count="12">
    <mergeCell ref="B1:H1"/>
    <mergeCell ref="L5:R5"/>
    <mergeCell ref="B6:H6"/>
    <mergeCell ref="L15:R15"/>
    <mergeCell ref="B16:H16"/>
    <mergeCell ref="L24:R24"/>
    <mergeCell ref="B26:H26"/>
    <mergeCell ref="L33:R33"/>
    <mergeCell ref="B37:H37"/>
    <mergeCell ref="B43:H43"/>
    <mergeCell ref="B50:J50"/>
    <mergeCell ref="B61:J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8" min="3" style="1" width="13"/>
    <col collapsed="false" customWidth="true" hidden="false" outlineLevel="0" max="9" min="9" style="1" width="60"/>
  </cols>
  <sheetData>
    <row r="2" customFormat="false" ht="24" hidden="false" customHeight="true" outlineLevel="0" collapsed="false">
      <c r="B2" s="62" t="s">
        <v>436</v>
      </c>
      <c r="C2" s="62"/>
      <c r="D2" s="62"/>
      <c r="E2" s="62"/>
      <c r="F2" s="62"/>
      <c r="G2" s="62"/>
      <c r="H2" s="62"/>
      <c r="I2" s="62"/>
    </row>
    <row r="3" customFormat="false" ht="15" hidden="false" customHeight="true" outlineLevel="0" collapsed="false">
      <c r="B3" s="82" t="s">
        <v>437</v>
      </c>
      <c r="C3" s="82"/>
      <c r="D3" s="82"/>
      <c r="E3" s="82"/>
      <c r="F3" s="82"/>
      <c r="G3" s="82"/>
      <c r="H3" s="82"/>
      <c r="I3" s="82"/>
    </row>
    <row r="5" customFormat="false" ht="15" hidden="false" customHeight="true" outlineLevel="0" collapsed="false">
      <c r="B5" s="68" t="s">
        <v>438</v>
      </c>
      <c r="C5" s="68"/>
      <c r="D5" s="68"/>
      <c r="E5" s="68"/>
      <c r="F5" s="68"/>
      <c r="G5" s="68"/>
      <c r="H5" s="68"/>
      <c r="I5" s="68"/>
    </row>
    <row r="6" customFormat="false" ht="15" hidden="false" customHeight="true" outlineLevel="0" collapsed="false">
      <c r="C6" s="67" t="s">
        <v>231</v>
      </c>
      <c r="D6" s="67" t="s">
        <v>232</v>
      </c>
      <c r="E6" s="67" t="s">
        <v>233</v>
      </c>
      <c r="F6" s="67" t="s">
        <v>234</v>
      </c>
      <c r="G6" s="67" t="s">
        <v>235</v>
      </c>
      <c r="H6" s="67" t="s">
        <v>236</v>
      </c>
    </row>
    <row r="7" customFormat="false" ht="15" hidden="false" customHeight="true" outlineLevel="0" collapsed="false">
      <c r="B7" s="69" t="s">
        <v>84</v>
      </c>
      <c r="C7" s="70" t="n">
        <v>168088</v>
      </c>
      <c r="D7" s="70" t="n">
        <v>198270</v>
      </c>
      <c r="E7" s="70" t="n">
        <v>211915</v>
      </c>
      <c r="F7" s="70" t="n">
        <v>245122</v>
      </c>
      <c r="G7" s="70" t="n">
        <v>281724</v>
      </c>
      <c r="H7" s="70" t="n">
        <v>241832</v>
      </c>
      <c r="I7" s="71" t="s">
        <v>439</v>
      </c>
    </row>
    <row r="8" customFormat="false" ht="15" hidden="false" customHeight="true" outlineLevel="0" collapsed="false">
      <c r="B8" s="69" t="s">
        <v>440</v>
      </c>
      <c r="C8" s="70" t="n">
        <v>69916</v>
      </c>
      <c r="D8" s="70" t="n">
        <v>83383</v>
      </c>
      <c r="E8" s="70" t="n">
        <v>88523</v>
      </c>
      <c r="F8" s="70" t="n">
        <v>109433</v>
      </c>
      <c r="G8" s="70" t="n">
        <v>128528</v>
      </c>
      <c r="H8" s="70" t="n">
        <v>114634</v>
      </c>
    </row>
    <row r="9" customFormat="false" ht="15" hidden="false" customHeight="true" outlineLevel="0" collapsed="false">
      <c r="B9" s="69" t="s">
        <v>441</v>
      </c>
      <c r="C9" s="70" t="n">
        <v>61271</v>
      </c>
      <c r="D9" s="70" t="n">
        <v>72738</v>
      </c>
      <c r="E9" s="70" t="n">
        <v>72361</v>
      </c>
      <c r="F9" s="70" t="n">
        <v>88136</v>
      </c>
      <c r="G9" s="70" t="n">
        <v>101832</v>
      </c>
      <c r="H9" s="70" t="n">
        <v>97983</v>
      </c>
    </row>
    <row r="10" customFormat="false" ht="15" hidden="false" customHeight="true" outlineLevel="0" collapsed="false">
      <c r="B10" s="69" t="s">
        <v>442</v>
      </c>
      <c r="C10" s="70" t="n">
        <v>333779</v>
      </c>
      <c r="D10" s="70" t="n">
        <v>364840</v>
      </c>
      <c r="E10" s="70" t="n">
        <v>411976</v>
      </c>
      <c r="F10" s="70" t="n">
        <v>512163</v>
      </c>
      <c r="G10" s="70" t="n">
        <v>619003</v>
      </c>
      <c r="H10" s="70" t="n">
        <v>694228</v>
      </c>
      <c r="I10" s="71" t="s">
        <v>443</v>
      </c>
    </row>
    <row r="11" customFormat="false" ht="15" hidden="false" customHeight="true" outlineLevel="0" collapsed="false">
      <c r="B11" s="69" t="s">
        <v>444</v>
      </c>
      <c r="C11" s="70" t="n">
        <v>141988</v>
      </c>
      <c r="D11" s="70" t="n">
        <v>166542</v>
      </c>
      <c r="E11" s="70" t="n">
        <v>206223</v>
      </c>
      <c r="F11" s="70" t="n">
        <v>268477</v>
      </c>
      <c r="G11" s="70" t="n">
        <v>343479</v>
      </c>
      <c r="H11" s="70" t="n">
        <v>414367</v>
      </c>
    </row>
    <row r="12" customFormat="false" ht="15" hidden="false" customHeight="true" outlineLevel="0" collapsed="false">
      <c r="B12" s="69" t="s">
        <v>445</v>
      </c>
      <c r="C12" s="70" t="n">
        <v>78361</v>
      </c>
      <c r="D12" s="70" t="n">
        <v>61270</v>
      </c>
      <c r="E12" s="70" t="n">
        <v>47578</v>
      </c>
      <c r="F12" s="70" t="n">
        <v>79444</v>
      </c>
      <c r="G12" s="70" t="n">
        <v>43151</v>
      </c>
      <c r="H12" s="70" t="n">
        <v>40262</v>
      </c>
    </row>
    <row r="13" customFormat="false" ht="15" hidden="false" customHeight="true" outlineLevel="0" collapsed="false">
      <c r="B13" s="69" t="s">
        <v>446</v>
      </c>
      <c r="C13" s="70" t="n">
        <v>130334</v>
      </c>
      <c r="D13" s="70" t="n">
        <v>104757</v>
      </c>
      <c r="E13" s="70" t="n">
        <v>111262</v>
      </c>
      <c r="F13" s="70" t="n">
        <v>75531</v>
      </c>
      <c r="G13" s="70" t="n">
        <v>94565</v>
      </c>
      <c r="H13" s="70" t="n">
        <v>78272</v>
      </c>
    </row>
    <row r="14" customFormat="false" ht="15" hidden="false" customHeight="true" outlineLevel="0" collapsed="false">
      <c r="B14" s="69" t="s">
        <v>447</v>
      </c>
      <c r="C14" s="70" t="n">
        <v>76740</v>
      </c>
      <c r="D14" s="70" t="n">
        <v>89035</v>
      </c>
      <c r="E14" s="70" t="n">
        <v>87582</v>
      </c>
      <c r="F14" s="70" t="n">
        <v>118548</v>
      </c>
      <c r="G14" s="70" t="n">
        <v>136162</v>
      </c>
      <c r="H14" s="70" t="n">
        <v>127494</v>
      </c>
      <c r="I14" s="71" t="s">
        <v>448</v>
      </c>
    </row>
    <row r="15" customFormat="false" ht="15" hidden="false" customHeight="true" outlineLevel="0" collapsed="false">
      <c r="B15" s="69" t="s">
        <v>449</v>
      </c>
      <c r="C15" s="70" t="n">
        <v>20622</v>
      </c>
      <c r="D15" s="70" t="n">
        <v>23886</v>
      </c>
      <c r="E15" s="70" t="n">
        <v>28107</v>
      </c>
      <c r="F15" s="70" t="n">
        <v>44477</v>
      </c>
      <c r="G15" s="70" t="n">
        <v>64551</v>
      </c>
      <c r="H15" s="70" t="n">
        <v>80146</v>
      </c>
    </row>
    <row r="16" customFormat="false" ht="15" hidden="false" customHeight="true" outlineLevel="0" collapsed="false">
      <c r="B16" s="69" t="s">
        <v>450</v>
      </c>
      <c r="C16" s="70" t="n">
        <v>56118</v>
      </c>
      <c r="D16" s="70" t="n">
        <v>65149</v>
      </c>
      <c r="E16" s="70" t="n">
        <v>59475</v>
      </c>
      <c r="F16" s="70" t="n">
        <v>74071</v>
      </c>
      <c r="G16" s="70" t="n">
        <v>71611</v>
      </c>
      <c r="H16" s="70" t="n">
        <v>47348</v>
      </c>
    </row>
    <row r="17" customFormat="false" ht="15" hidden="false" customHeight="true" outlineLevel="0" collapsed="false">
      <c r="B17" s="69" t="s">
        <v>451</v>
      </c>
      <c r="C17" s="70" t="n">
        <v>11686</v>
      </c>
      <c r="D17" s="70" t="n">
        <v>14460</v>
      </c>
      <c r="E17" s="70" t="n">
        <v>13861</v>
      </c>
      <c r="F17" s="70" t="n">
        <v>22287</v>
      </c>
      <c r="G17" s="70" t="n">
        <v>34153</v>
      </c>
      <c r="H17" s="70" t="n">
        <v>27512</v>
      </c>
    </row>
    <row r="18" customFormat="false" ht="15" hidden="false" customHeight="true" outlineLevel="0" collapsed="false">
      <c r="B18" s="69" t="s">
        <v>452</v>
      </c>
      <c r="C18" s="101" t="n">
        <v>0.14</v>
      </c>
      <c r="D18" s="101" t="n">
        <v>0.13</v>
      </c>
      <c r="E18" s="101" t="n">
        <v>0.19</v>
      </c>
      <c r="F18" s="101" t="n">
        <v>0.182</v>
      </c>
      <c r="G18" s="101" t="n">
        <v>0.183</v>
      </c>
      <c r="H18" s="101" t="n">
        <v>0.19</v>
      </c>
      <c r="I18" s="71" t="s">
        <v>453</v>
      </c>
    </row>
    <row r="20" customFormat="false" ht="15" hidden="false" customHeight="true" outlineLevel="0" collapsed="false">
      <c r="B20" s="68" t="s">
        <v>454</v>
      </c>
      <c r="C20" s="68"/>
      <c r="D20" s="68"/>
      <c r="E20" s="68"/>
      <c r="F20" s="68"/>
      <c r="G20" s="68"/>
      <c r="H20" s="68"/>
      <c r="I20" s="68"/>
    </row>
    <row r="21" customFormat="false" ht="15" hidden="false" customHeight="true" outlineLevel="0" collapsed="false">
      <c r="C21" s="67" t="s">
        <v>231</v>
      </c>
      <c r="D21" s="67" t="s">
        <v>232</v>
      </c>
      <c r="E21" s="67" t="s">
        <v>233</v>
      </c>
      <c r="F21" s="67" t="s">
        <v>234</v>
      </c>
      <c r="G21" s="67" t="s">
        <v>235</v>
      </c>
      <c r="H21" s="67" t="s">
        <v>236</v>
      </c>
    </row>
    <row r="22" customFormat="false" ht="15" hidden="false" customHeight="true" outlineLevel="0" collapsed="false">
      <c r="B22" s="63" t="s">
        <v>455</v>
      </c>
      <c r="C22" s="102" t="n">
        <f aca="false">1-C18</f>
        <v>0.86</v>
      </c>
      <c r="D22" s="102" t="n">
        <f aca="false">1-D18</f>
        <v>0.87</v>
      </c>
      <c r="E22" s="102" t="n">
        <f aca="false">1-E18</f>
        <v>0.81</v>
      </c>
      <c r="F22" s="102" t="n">
        <f aca="false">1-F18</f>
        <v>0.818</v>
      </c>
      <c r="G22" s="102" t="n">
        <f aca="false">1-G18</f>
        <v>0.817</v>
      </c>
      <c r="H22" s="102" t="n">
        <f aca="false">1-H18</f>
        <v>0.81</v>
      </c>
      <c r="I22" s="71" t="s">
        <v>456</v>
      </c>
    </row>
    <row r="23" customFormat="false" ht="15" hidden="false" customHeight="true" outlineLevel="0" collapsed="false">
      <c r="B23" s="63" t="s">
        <v>457</v>
      </c>
      <c r="C23" s="102" t="n">
        <f aca="false">(C9/(1-C18))/C8</f>
        <v>1.01901351389109</v>
      </c>
      <c r="D23" s="102" t="n">
        <f aca="false">(D9/(1-D18))/D8</f>
        <v>1.00268515826636</v>
      </c>
      <c r="E23" s="102" t="n">
        <f aca="false">(E9/(1-E18))/E8</f>
        <v>1.00916787615913</v>
      </c>
      <c r="F23" s="102" t="n">
        <f aca="false">(F9/(1-F18))/F8</f>
        <v>0.984581627766703</v>
      </c>
      <c r="G23" s="102" t="n">
        <f aca="false">(G9/(1-G18))/G8</f>
        <v>0.969760448066048</v>
      </c>
      <c r="H23" s="102" t="n">
        <f aca="false">(H9/(1-H18))/H8</f>
        <v>1.05524248186984</v>
      </c>
      <c r="I23" s="71" t="s">
        <v>458</v>
      </c>
    </row>
    <row r="24" customFormat="false" ht="15" hidden="false" customHeight="true" outlineLevel="0" collapsed="false">
      <c r="B24" s="63" t="s">
        <v>459</v>
      </c>
      <c r="C24" s="102" t="n">
        <f aca="false">C8/C7</f>
        <v>0.415948788729713</v>
      </c>
      <c r="D24" s="102" t="n">
        <f aca="false">D8/D7</f>
        <v>0.420552781560498</v>
      </c>
      <c r="E24" s="102" t="n">
        <f aca="false">E8/E7</f>
        <v>0.417728806361041</v>
      </c>
      <c r="F24" s="102" t="n">
        <f aca="false">F8/F7</f>
        <v>0.446442995732737</v>
      </c>
      <c r="G24" s="102" t="n">
        <f aca="false">G8/G7</f>
        <v>0.456219562408599</v>
      </c>
      <c r="H24" s="102" t="n">
        <f aca="false">H8/H7</f>
        <v>0.47402328889477</v>
      </c>
      <c r="I24" s="71" t="s">
        <v>460</v>
      </c>
    </row>
    <row r="25" customFormat="false" ht="15" hidden="false" customHeight="true" outlineLevel="0" collapsed="false">
      <c r="B25" s="63" t="s">
        <v>461</v>
      </c>
      <c r="C25" s="103" t="n">
        <f aca="false">C7/C10</f>
        <v>0.503590699235123</v>
      </c>
      <c r="D25" s="103" t="n">
        <f aca="false">D7/D10</f>
        <v>0.543443701348536</v>
      </c>
      <c r="E25" s="103" t="n">
        <f aca="false">E7/E10</f>
        <v>0.514386760393809</v>
      </c>
      <c r="F25" s="103" t="n">
        <f aca="false">F7/F10</f>
        <v>0.478601538963182</v>
      </c>
      <c r="G25" s="103" t="n">
        <f aca="false">G7/G10</f>
        <v>0.455125419424462</v>
      </c>
      <c r="H25" s="103" t="n">
        <f aca="false">H7/H10</f>
        <v>0.348346652684709</v>
      </c>
      <c r="I25" s="71" t="s">
        <v>462</v>
      </c>
    </row>
    <row r="26" customFormat="false" ht="15" hidden="false" customHeight="true" outlineLevel="0" collapsed="false">
      <c r="B26" s="63" t="s">
        <v>463</v>
      </c>
      <c r="C26" s="103" t="n">
        <f aca="false">C10/C11</f>
        <v>2.35075499337972</v>
      </c>
      <c r="D26" s="103" t="n">
        <f aca="false">D10/D11</f>
        <v>2.19067862761345</v>
      </c>
      <c r="E26" s="103" t="n">
        <f aca="false">E10/E11</f>
        <v>1.99772091376811</v>
      </c>
      <c r="F26" s="103" t="n">
        <f aca="false">F10/F11</f>
        <v>1.90766061897295</v>
      </c>
      <c r="G26" s="103" t="n">
        <f aca="false">G10/G11</f>
        <v>1.80215675485255</v>
      </c>
      <c r="H26" s="103" t="n">
        <f aca="false">H10/H11</f>
        <v>1.67539403475663</v>
      </c>
      <c r="I26" s="71" t="s">
        <v>464</v>
      </c>
    </row>
    <row r="28" customFormat="false" ht="15" hidden="false" customHeight="true" outlineLevel="0" collapsed="false">
      <c r="B28" s="104" t="s">
        <v>465</v>
      </c>
      <c r="C28" s="105" t="n">
        <f aca="false">C22*C23*C24*C25*C26</f>
        <v>0.431522382173141</v>
      </c>
      <c r="D28" s="105" t="n">
        <f aca="false">D22*D23*D24*D25*D26</f>
        <v>0.436754692509998</v>
      </c>
      <c r="E28" s="105" t="n">
        <f aca="false">E22*E23*E24*E25*E26</f>
        <v>0.350887146438564</v>
      </c>
      <c r="F28" s="105" t="n">
        <f aca="false">F22*F23*F24*F25*F26</f>
        <v>0.328281379782998</v>
      </c>
      <c r="G28" s="105" t="n">
        <f aca="false">G22*G23*G24*G25*G26</f>
        <v>0.296472273414095</v>
      </c>
      <c r="H28" s="105" t="n">
        <f aca="false">H22*H23*H24*H25*H26</f>
        <v>0.236464293729954</v>
      </c>
      <c r="I28" s="71" t="s">
        <v>466</v>
      </c>
    </row>
    <row r="29" customFormat="false" ht="15" hidden="false" customHeight="true" outlineLevel="0" collapsed="false">
      <c r="B29" s="63" t="s">
        <v>467</v>
      </c>
      <c r="C29" s="102" t="n">
        <f aca="false">C9/C11</f>
        <v>0.431522382173141</v>
      </c>
      <c r="D29" s="102" t="n">
        <f aca="false">D9/D11</f>
        <v>0.436754692509998</v>
      </c>
      <c r="E29" s="102" t="n">
        <f aca="false">E9/E11</f>
        <v>0.350887146438564</v>
      </c>
      <c r="F29" s="102" t="n">
        <f aca="false">F9/F11</f>
        <v>0.328281379782998</v>
      </c>
      <c r="G29" s="102" t="n">
        <f aca="false">G9/G11</f>
        <v>0.296472273414095</v>
      </c>
      <c r="H29" s="102" t="n">
        <f aca="false">H9/H11</f>
        <v>0.236464293729954</v>
      </c>
      <c r="I29" s="71" t="s">
        <v>468</v>
      </c>
    </row>
    <row r="31" customFormat="false" ht="15" hidden="false" customHeight="true" outlineLevel="0" collapsed="false">
      <c r="B31" s="68" t="s">
        <v>469</v>
      </c>
      <c r="C31" s="68"/>
      <c r="D31" s="68"/>
      <c r="E31" s="68"/>
      <c r="F31" s="68"/>
      <c r="G31" s="68"/>
      <c r="H31" s="68"/>
      <c r="I31" s="68"/>
    </row>
    <row r="32" customFormat="false" ht="15" hidden="false" customHeight="true" outlineLevel="0" collapsed="false">
      <c r="C32" s="67" t="s">
        <v>231</v>
      </c>
      <c r="D32" s="67" t="s">
        <v>232</v>
      </c>
      <c r="E32" s="67" t="s">
        <v>233</v>
      </c>
      <c r="F32" s="67" t="s">
        <v>234</v>
      </c>
      <c r="G32" s="67" t="s">
        <v>235</v>
      </c>
      <c r="H32" s="67" t="s">
        <v>236</v>
      </c>
    </row>
    <row r="33" customFormat="false" ht="15" hidden="false" customHeight="true" outlineLevel="0" collapsed="false">
      <c r="B33" s="63" t="s">
        <v>470</v>
      </c>
      <c r="C33" s="106" t="n">
        <f aca="false">C8*(1-C18)</f>
        <v>60127.76</v>
      </c>
      <c r="D33" s="106" t="n">
        <f aca="false">D8*(1-D18)</f>
        <v>72543.21</v>
      </c>
      <c r="E33" s="106" t="n">
        <f aca="false">E8*(1-E18)</f>
        <v>71703.63</v>
      </c>
      <c r="F33" s="106" t="n">
        <f aca="false">F8*(1-F18)</f>
        <v>89516.194</v>
      </c>
      <c r="G33" s="106" t="n">
        <f aca="false">G8*(1-G18)</f>
        <v>105007.376</v>
      </c>
      <c r="H33" s="106" t="n">
        <f aca="false">H8*(1-H18)</f>
        <v>92853.54</v>
      </c>
      <c r="I33" s="71" t="s">
        <v>471</v>
      </c>
    </row>
    <row r="34" customFormat="false" ht="15" hidden="false" customHeight="true" outlineLevel="0" collapsed="false">
      <c r="B34" s="63" t="s">
        <v>472</v>
      </c>
      <c r="C34" s="106" t="n">
        <f aca="false">C11+C12-C13</f>
        <v>90015</v>
      </c>
      <c r="D34" s="106" t="n">
        <f aca="false">D11+D12-D13</f>
        <v>123055</v>
      </c>
      <c r="E34" s="106" t="n">
        <f aca="false">E11+E12-E13</f>
        <v>142539</v>
      </c>
      <c r="F34" s="106" t="n">
        <f aca="false">F11+F12-F13</f>
        <v>272390</v>
      </c>
      <c r="G34" s="106" t="n">
        <f aca="false">G11+G12-G13</f>
        <v>292065</v>
      </c>
      <c r="H34" s="106" t="n">
        <f aca="false">H11+H12-H13</f>
        <v>376357</v>
      </c>
      <c r="I34" s="71" t="s">
        <v>473</v>
      </c>
    </row>
    <row r="35" customFormat="false" ht="15" hidden="false" customHeight="true" outlineLevel="0" collapsed="false">
      <c r="B35" s="104" t="s">
        <v>474</v>
      </c>
      <c r="C35" s="105" t="n">
        <f aca="false">C33/C34</f>
        <v>0.667974893073377</v>
      </c>
      <c r="D35" s="105" t="n">
        <f aca="false">D33/D34</f>
        <v>0.58951858924871</v>
      </c>
      <c r="E35" s="105" t="n">
        <f aca="false">E33/E34</f>
        <v>0.503045692757772</v>
      </c>
      <c r="F35" s="105" t="n">
        <f aca="false">F33/F34</f>
        <v>0.328632453467455</v>
      </c>
      <c r="G35" s="105" t="n">
        <f aca="false">G33/G34</f>
        <v>0.359534268056768</v>
      </c>
      <c r="H35" s="105" t="n">
        <f aca="false">H33/H34</f>
        <v>0.24671665466565</v>
      </c>
      <c r="I35" s="71" t="s">
        <v>475</v>
      </c>
    </row>
    <row r="37" customFormat="false" ht="15" hidden="false" customHeight="true" outlineLevel="0" collapsed="false">
      <c r="B37" s="63" t="s">
        <v>476</v>
      </c>
      <c r="C37" s="107" t="n">
        <f aca="false">C35-Hipotesis!$C$25</f>
        <v>0.576734095102442</v>
      </c>
      <c r="D37" s="107" t="n">
        <f aca="false">D35-Hipotesis!$C$25</f>
        <v>0.498277791277775</v>
      </c>
      <c r="E37" s="107" t="n">
        <f aca="false">E35-Hipotesis!$C$25</f>
        <v>0.411804894786837</v>
      </c>
      <c r="F37" s="107" t="n">
        <f aca="false">F35-Hipotesis!$C$25</f>
        <v>0.23739165549652</v>
      </c>
      <c r="G37" s="107" t="n">
        <f aca="false">G35-Hipotesis!$C$25</f>
        <v>0.268293470085834</v>
      </c>
      <c r="H37" s="102" t="n">
        <f aca="false">H35-Hipotesis!$C$25</f>
        <v>0.155475856694715</v>
      </c>
      <c r="I37" s="71" t="s">
        <v>477</v>
      </c>
    </row>
    <row r="39" customFormat="false" ht="15" hidden="false" customHeight="true" outlineLevel="0" collapsed="false">
      <c r="B39" s="68" t="s">
        <v>478</v>
      </c>
      <c r="C39" s="68"/>
      <c r="D39" s="68"/>
      <c r="E39" s="68"/>
      <c r="F39" s="68"/>
      <c r="G39" s="68"/>
      <c r="H39" s="68"/>
      <c r="I39" s="68"/>
    </row>
    <row r="40" customFormat="false" ht="15" hidden="false" customHeight="true" outlineLevel="0" collapsed="false">
      <c r="C40" s="67" t="s">
        <v>231</v>
      </c>
      <c r="D40" s="67" t="s">
        <v>232</v>
      </c>
      <c r="E40" s="67" t="s">
        <v>233</v>
      </c>
      <c r="F40" s="67" t="s">
        <v>234</v>
      </c>
      <c r="G40" s="67" t="s">
        <v>235</v>
      </c>
      <c r="H40" s="67" t="s">
        <v>236</v>
      </c>
    </row>
    <row r="41" customFormat="false" ht="15" hidden="false" customHeight="true" outlineLevel="0" collapsed="false">
      <c r="B41" s="69" t="s">
        <v>479</v>
      </c>
      <c r="C41" s="70" t="n">
        <v>38043</v>
      </c>
      <c r="D41" s="70" t="n">
        <v>44261</v>
      </c>
      <c r="E41" s="70" t="n">
        <v>48688</v>
      </c>
      <c r="F41" s="70" t="n">
        <v>56924</v>
      </c>
      <c r="G41" s="70" t="n">
        <v>64411</v>
      </c>
      <c r="H41" s="70" t="n">
        <v>60041</v>
      </c>
      <c r="I41" s="71" t="s">
        <v>480</v>
      </c>
    </row>
    <row r="42" customFormat="false" ht="15" hidden="false" customHeight="true" outlineLevel="0" collapsed="false">
      <c r="B42" s="69" t="s">
        <v>481</v>
      </c>
      <c r="C42" s="70" t="n">
        <v>2636</v>
      </c>
      <c r="D42" s="70" t="n">
        <v>3742</v>
      </c>
      <c r="E42" s="70" t="n">
        <v>2500</v>
      </c>
      <c r="F42" s="70" t="n">
        <v>1246</v>
      </c>
      <c r="G42" s="70" t="n">
        <v>1714</v>
      </c>
      <c r="H42" s="70" t="n">
        <v>1500</v>
      </c>
    </row>
    <row r="43" customFormat="false" ht="15" hidden="false" customHeight="true" outlineLevel="0" collapsed="false">
      <c r="B43" s="69" t="s">
        <v>482</v>
      </c>
      <c r="C43" s="70" t="n">
        <v>15163</v>
      </c>
      <c r="D43" s="70" t="n">
        <v>19000</v>
      </c>
      <c r="E43" s="70" t="n">
        <v>18095</v>
      </c>
      <c r="F43" s="70" t="n">
        <v>21996</v>
      </c>
      <c r="G43" s="70" t="n">
        <v>23792</v>
      </c>
      <c r="H43" s="70" t="n">
        <v>22600</v>
      </c>
    </row>
    <row r="44" customFormat="false" ht="15" hidden="false" customHeight="true" outlineLevel="0" collapsed="false">
      <c r="B44" s="69" t="s">
        <v>483</v>
      </c>
      <c r="C44" s="70" t="n">
        <v>41525</v>
      </c>
      <c r="D44" s="70" t="n">
        <v>45538</v>
      </c>
      <c r="E44" s="70" t="n">
        <v>50901</v>
      </c>
      <c r="F44" s="70" t="n">
        <v>57582</v>
      </c>
      <c r="G44" s="70" t="n">
        <v>67609</v>
      </c>
      <c r="H44" s="70" t="n">
        <v>67000</v>
      </c>
      <c r="I44" s="71" t="s">
        <v>484</v>
      </c>
    </row>
    <row r="46" customFormat="false" ht="15" hidden="false" customHeight="true" outlineLevel="0" collapsed="false">
      <c r="B46" s="63" t="s">
        <v>485</v>
      </c>
      <c r="C46" s="108" t="n">
        <f aca="false">C41/C7*365</f>
        <v>82.6096746942078</v>
      </c>
      <c r="D46" s="108" t="n">
        <f aca="false">D41/D7*365</f>
        <v>81.4811368336107</v>
      </c>
      <c r="E46" s="108" t="n">
        <f aca="false">E41/E7*365</f>
        <v>83.8596607130217</v>
      </c>
      <c r="F46" s="108" t="n">
        <f aca="false">F41/F7*365</f>
        <v>84.7629343755355</v>
      </c>
      <c r="G46" s="108" t="n">
        <f aca="false">G41/G7*365</f>
        <v>83.4505224971958</v>
      </c>
      <c r="H46" s="108" t="n">
        <f aca="false">H41/(H7*4/3)*365</f>
        <v>67.9654625938668</v>
      </c>
      <c r="I46" s="71" t="s">
        <v>486</v>
      </c>
    </row>
    <row r="47" customFormat="false" ht="15" hidden="false" customHeight="true" outlineLevel="0" collapsed="false">
      <c r="B47" s="63" t="s">
        <v>487</v>
      </c>
      <c r="C47" s="108" t="n">
        <f aca="false">C43/C7*365</f>
        <v>32.926175574699</v>
      </c>
      <c r="D47" s="108" t="n">
        <f aca="false">D43/D7*365</f>
        <v>34.9775558581732</v>
      </c>
      <c r="E47" s="108" t="n">
        <f aca="false">E43/E7*365</f>
        <v>31.1666234103296</v>
      </c>
      <c r="F47" s="108" t="n">
        <f aca="false">F43/F7*365</f>
        <v>32.7532412431361</v>
      </c>
      <c r="G47" s="108" t="n">
        <f aca="false">G43/G7*365</f>
        <v>30.8247788615808</v>
      </c>
      <c r="H47" s="108" t="n">
        <f aca="false">H43/(H7*4/3)*365</f>
        <v>25.5828426345562</v>
      </c>
      <c r="I47" s="71" t="s">
        <v>488</v>
      </c>
    </row>
    <row r="48" customFormat="false" ht="15" hidden="false" customHeight="true" outlineLevel="0" collapsed="false">
      <c r="B48" s="63" t="s">
        <v>489</v>
      </c>
      <c r="C48" s="108" t="n">
        <f aca="false">C42/C7*365</f>
        <v>5.72402551044691</v>
      </c>
      <c r="D48" s="108" t="n">
        <f aca="false">D42/D7*365</f>
        <v>6.88873758006759</v>
      </c>
      <c r="E48" s="108" t="n">
        <f aca="false">E42/E7*365</f>
        <v>4.30597173394993</v>
      </c>
      <c r="F48" s="108" t="n">
        <f aca="false">F42/F7*365</f>
        <v>1.85536181982849</v>
      </c>
      <c r="G48" s="108" t="n">
        <f aca="false">G42/G7*365</f>
        <v>2.22064857804092</v>
      </c>
      <c r="H48" s="108" t="n">
        <f aca="false">H42/(H7*4/3)*365</f>
        <v>1.69797628105462</v>
      </c>
      <c r="I48" s="71" t="s">
        <v>490</v>
      </c>
    </row>
    <row r="49" customFormat="false" ht="15" hidden="false" customHeight="true" outlineLevel="0" collapsed="false">
      <c r="B49" s="63" t="s">
        <v>491</v>
      </c>
      <c r="C49" s="108" t="n">
        <f aca="false">C46+C48-C47</f>
        <v>55.4075246299557</v>
      </c>
      <c r="D49" s="108" t="n">
        <f aca="false">D46+D48-D47</f>
        <v>53.3923185555051</v>
      </c>
      <c r="E49" s="108" t="n">
        <f aca="false">E46+E48-E47</f>
        <v>56.999009036642</v>
      </c>
      <c r="F49" s="108" t="n">
        <f aca="false">F46+F48-F47</f>
        <v>53.8650549522279</v>
      </c>
      <c r="G49" s="108" t="n">
        <f aca="false">G46+G48-G47</f>
        <v>54.8463922136559</v>
      </c>
      <c r="H49" s="108" t="n">
        <f aca="false">H46+H48-H47</f>
        <v>44.0805962403652</v>
      </c>
      <c r="I49" s="71" t="s">
        <v>492</v>
      </c>
    </row>
    <row r="51" customFormat="false" ht="15" hidden="false" customHeight="true" outlineLevel="0" collapsed="false">
      <c r="B51" s="69" t="s">
        <v>493</v>
      </c>
      <c r="C51" s="78" t="s">
        <v>405</v>
      </c>
      <c r="D51" s="78" t="s">
        <v>405</v>
      </c>
      <c r="E51" s="70" t="n">
        <v>222000</v>
      </c>
      <c r="F51" s="70" t="n">
        <v>269000</v>
      </c>
      <c r="G51" s="70" t="n">
        <v>368000</v>
      </c>
      <c r="H51" s="70" t="n">
        <v>627000</v>
      </c>
      <c r="I51" s="71" t="s">
        <v>494</v>
      </c>
    </row>
    <row r="52" customFormat="false" ht="15" hidden="false" customHeight="true" outlineLevel="0" collapsed="false">
      <c r="B52" s="63" t="s">
        <v>495</v>
      </c>
      <c r="C52" s="78" t="s">
        <v>317</v>
      </c>
      <c r="D52" s="78" t="s">
        <v>317</v>
      </c>
      <c r="E52" s="109" t="n">
        <f aca="false">E51/E7</f>
        <v>1.04758983554727</v>
      </c>
      <c r="F52" s="109" t="n">
        <f aca="false">F51/F7</f>
        <v>1.09741271693279</v>
      </c>
      <c r="G52" s="109" t="n">
        <f aca="false">G51/G7</f>
        <v>1.30624298959265</v>
      </c>
      <c r="H52" s="110" t="n">
        <f aca="false">H51/(H7*4/3)</f>
        <v>1.94453174104337</v>
      </c>
      <c r="I52" s="71" t="s">
        <v>496</v>
      </c>
    </row>
    <row r="55" customFormat="false" ht="15" hidden="false" customHeight="true" outlineLevel="0" collapsed="false">
      <c r="B55" s="68" t="s">
        <v>497</v>
      </c>
      <c r="C55" s="68"/>
      <c r="D55" s="68"/>
      <c r="E55" s="68"/>
      <c r="F55" s="68"/>
      <c r="G55" s="68"/>
      <c r="H55" s="68"/>
      <c r="I55" s="68"/>
    </row>
    <row r="56" customFormat="false" ht="27.75" hidden="false" customHeight="true" outlineLevel="0" collapsed="false">
      <c r="B56" s="30" t="s">
        <v>498</v>
      </c>
      <c r="C56" s="30"/>
      <c r="D56" s="30"/>
      <c r="E56" s="30"/>
      <c r="F56" s="30"/>
      <c r="G56" s="30"/>
      <c r="H56" s="30"/>
      <c r="I56" s="30"/>
    </row>
    <row r="57" customFormat="false" ht="27.75" hidden="false" customHeight="true" outlineLevel="0" collapsed="false">
      <c r="B57" s="30" t="s">
        <v>499</v>
      </c>
      <c r="C57" s="30"/>
      <c r="D57" s="30"/>
      <c r="E57" s="30"/>
      <c r="F57" s="30"/>
      <c r="G57" s="30"/>
      <c r="H57" s="30"/>
      <c r="I57" s="30"/>
    </row>
    <row r="58" customFormat="false" ht="27.75" hidden="false" customHeight="true" outlineLevel="0" collapsed="false">
      <c r="B58" s="30" t="s">
        <v>500</v>
      </c>
      <c r="C58" s="30"/>
      <c r="D58" s="30"/>
      <c r="E58" s="30"/>
      <c r="F58" s="30"/>
      <c r="G58" s="30"/>
      <c r="H58" s="30"/>
      <c r="I58" s="30"/>
    </row>
    <row r="59" customFormat="false" ht="27.75" hidden="false" customHeight="true" outlineLevel="0" collapsed="false">
      <c r="B59" s="30" t="s">
        <v>501</v>
      </c>
      <c r="C59" s="30"/>
      <c r="D59" s="30"/>
      <c r="E59" s="30"/>
      <c r="F59" s="30"/>
      <c r="G59" s="30"/>
      <c r="H59" s="30"/>
      <c r="I59" s="30"/>
    </row>
    <row r="60" customFormat="false" ht="27.75" hidden="false" customHeight="true" outlineLevel="0" collapsed="false">
      <c r="B60" s="30" t="s">
        <v>502</v>
      </c>
      <c r="C60" s="30"/>
      <c r="D60" s="30"/>
      <c r="E60" s="30"/>
      <c r="F60" s="30"/>
      <c r="G60" s="30"/>
      <c r="H60" s="30"/>
      <c r="I60" s="30"/>
    </row>
    <row r="61" customFormat="false" ht="27.75" hidden="false" customHeight="true" outlineLevel="0" collapsed="false">
      <c r="B61" s="30" t="s">
        <v>503</v>
      </c>
      <c r="C61" s="30"/>
      <c r="D61" s="30"/>
      <c r="E61" s="30"/>
      <c r="F61" s="30"/>
      <c r="G61" s="30"/>
      <c r="H61" s="30"/>
      <c r="I61" s="30"/>
    </row>
    <row r="62" customFormat="false" ht="27.75" hidden="false" customHeight="true" outlineLevel="0" collapsed="false">
      <c r="B62" s="30" t="s">
        <v>504</v>
      </c>
      <c r="C62" s="30"/>
      <c r="D62" s="30"/>
      <c r="E62" s="30"/>
      <c r="F62" s="30"/>
      <c r="G62" s="30"/>
      <c r="H62" s="30"/>
      <c r="I62" s="30"/>
    </row>
    <row r="63" customFormat="false" ht="27.75" hidden="false" customHeight="true" outlineLevel="0" collapsed="false">
      <c r="B63" s="30" t="s">
        <v>505</v>
      </c>
      <c r="C63" s="30"/>
      <c r="D63" s="30"/>
      <c r="E63" s="30"/>
      <c r="F63" s="30"/>
      <c r="G63" s="30"/>
      <c r="H63" s="30"/>
      <c r="I63" s="30"/>
    </row>
    <row r="64" customFormat="false" ht="27.75" hidden="false" customHeight="true" outlineLevel="0" collapsed="false">
      <c r="B64" s="30" t="s">
        <v>506</v>
      </c>
      <c r="C64" s="30"/>
      <c r="D64" s="30"/>
      <c r="E64" s="30"/>
      <c r="F64" s="30"/>
      <c r="G64" s="30"/>
      <c r="H64" s="30"/>
      <c r="I64" s="30"/>
    </row>
    <row r="65" customFormat="false" ht="27.75" hidden="false" customHeight="true" outlineLevel="0" collapsed="false">
      <c r="B65" s="30" t="s">
        <v>507</v>
      </c>
      <c r="C65" s="30"/>
      <c r="D65" s="30"/>
      <c r="E65" s="30"/>
      <c r="F65" s="30"/>
      <c r="G65" s="30"/>
      <c r="H65" s="30"/>
      <c r="I65" s="30"/>
    </row>
  </sheetData>
  <mergeCells count="17">
    <mergeCell ref="B2:I2"/>
    <mergeCell ref="B3:I3"/>
    <mergeCell ref="B5:I5"/>
    <mergeCell ref="B20:I20"/>
    <mergeCell ref="B31:I31"/>
    <mergeCell ref="B39:I39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6" min="3" style="1" width="16"/>
    <col collapsed="false" customWidth="true" hidden="false" outlineLevel="0" max="7" min="7" style="1" width="60"/>
  </cols>
  <sheetData>
    <row r="2" customFormat="false" ht="25.5" hidden="false" customHeight="true" outlineLevel="0" collapsed="false">
      <c r="B2" s="111" t="s">
        <v>508</v>
      </c>
      <c r="C2" s="111"/>
      <c r="D2" s="111"/>
      <c r="E2" s="111"/>
      <c r="F2" s="111"/>
      <c r="G2" s="111"/>
    </row>
    <row r="3" customFormat="false" ht="15" hidden="false" customHeight="true" outlineLevel="0" collapsed="false">
      <c r="B3" s="12" t="s">
        <v>509</v>
      </c>
      <c r="C3" s="12"/>
      <c r="D3" s="12"/>
      <c r="E3" s="12"/>
      <c r="F3" s="12"/>
      <c r="G3" s="12"/>
    </row>
    <row r="5" customFormat="false" ht="21.75" hidden="false" customHeight="true" outlineLevel="0" collapsed="false">
      <c r="B5" s="4" t="s">
        <v>510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6" t="s">
        <v>511</v>
      </c>
      <c r="C6" s="21" t="n">
        <f aca="false">Hipotesis!$C$6</f>
        <v>408</v>
      </c>
    </row>
    <row r="7" customFormat="false" ht="15" hidden="false" customHeight="true" outlineLevel="0" collapsed="false">
      <c r="B7" s="6" t="s">
        <v>512</v>
      </c>
      <c r="C7" s="112" t="n">
        <f aca="false">Hipotesis!$C$8</f>
        <v>7428.4</v>
      </c>
    </row>
    <row r="8" customFormat="false" ht="15" hidden="false" customHeight="true" outlineLevel="0" collapsed="false">
      <c r="B8" s="6" t="s">
        <v>446</v>
      </c>
      <c r="C8" s="113" t="n">
        <f aca="false">Hipotesis!$C$15</f>
        <v>78272</v>
      </c>
    </row>
    <row r="9" customFormat="false" ht="15" hidden="false" customHeight="true" outlineLevel="0" collapsed="false">
      <c r="B9" s="6" t="s">
        <v>160</v>
      </c>
      <c r="C9" s="113" t="n">
        <f aca="false">Hipotesis!$C$16</f>
        <v>33683</v>
      </c>
    </row>
    <row r="10" customFormat="false" ht="15" hidden="false" customHeight="true" outlineLevel="0" collapsed="false">
      <c r="B10" s="6" t="s">
        <v>513</v>
      </c>
      <c r="C10" s="113" t="n">
        <f aca="false">Hipotesis!$C$14</f>
        <v>40262</v>
      </c>
    </row>
    <row r="11" customFormat="false" ht="15" hidden="false" customHeight="true" outlineLevel="0" collapsed="false">
      <c r="B11" s="6" t="s">
        <v>514</v>
      </c>
      <c r="C11" s="114" t="n">
        <f aca="false">Hipotesis!$C$25</f>
        <v>0.0912407979709345</v>
      </c>
    </row>
    <row r="12" customFormat="false" ht="15" hidden="false" customHeight="true" outlineLevel="0" collapsed="false">
      <c r="B12" s="6" t="s">
        <v>515</v>
      </c>
      <c r="C12" s="115" t="n">
        <f aca="false">Hipotesis!$C$47</f>
        <v>0.03</v>
      </c>
    </row>
    <row r="13" customFormat="false" ht="15" hidden="false" customHeight="true" outlineLevel="0" collapsed="false">
      <c r="B13" s="6" t="s">
        <v>516</v>
      </c>
      <c r="C13" s="113" t="n">
        <f aca="false">Modelo!$C$41</f>
        <v>460617.695052354</v>
      </c>
    </row>
    <row r="14" customFormat="false" ht="15" hidden="false" customHeight="true" outlineLevel="0" collapsed="false">
      <c r="B14" s="6" t="s">
        <v>517</v>
      </c>
      <c r="C14" s="113" t="n">
        <f aca="false">Modelo!$G$33</f>
        <v>186702.754762718</v>
      </c>
    </row>
    <row r="15" customFormat="false" ht="15" hidden="false" customHeight="true" outlineLevel="0" collapsed="false">
      <c r="B15" s="6" t="s">
        <v>518</v>
      </c>
      <c r="C15" s="113" t="n">
        <f aca="false">Modelo!$G$23</f>
        <v>247432.792968829</v>
      </c>
    </row>
    <row r="16" customFormat="false" ht="15" hidden="false" customHeight="true" outlineLevel="0" collapsed="false">
      <c r="B16" s="6" t="s">
        <v>519</v>
      </c>
      <c r="C16" s="113" t="n">
        <f aca="false">Modelo!$G$28</f>
        <v>78261.9881133183</v>
      </c>
    </row>
    <row r="17" customFormat="false" ht="15" hidden="false" customHeight="true" outlineLevel="0" collapsed="false">
      <c r="B17" s="6" t="s">
        <v>520</v>
      </c>
      <c r="C17" s="113" t="n">
        <f aca="false">Modelo!$G$13</f>
        <v>539737.849057368</v>
      </c>
    </row>
    <row r="18" customFormat="false" ht="15" hidden="false" customHeight="true" outlineLevel="0" collapsed="false">
      <c r="B18" s="6" t="s">
        <v>521</v>
      </c>
      <c r="C18" s="113" t="n">
        <f aca="false">Modelo!$G$27</f>
        <v>202894.890234439</v>
      </c>
    </row>
    <row r="19" customFormat="false" ht="15" hidden="false" customHeight="true" outlineLevel="0" collapsed="false">
      <c r="B19" s="6" t="s">
        <v>522</v>
      </c>
      <c r="C19" s="115" t="n">
        <f aca="false">Hipotesis!$C$13</f>
        <v>0.18</v>
      </c>
    </row>
    <row r="21" customFormat="false" ht="21.75" hidden="false" customHeight="true" outlineLevel="0" collapsed="false">
      <c r="B21" s="4" t="s">
        <v>523</v>
      </c>
      <c r="C21" s="4"/>
      <c r="D21" s="4"/>
      <c r="E21" s="4"/>
      <c r="F21" s="4"/>
      <c r="G21" s="4"/>
    </row>
    <row r="22" customFormat="false" ht="15" hidden="false" customHeight="true" outlineLevel="0" collapsed="false">
      <c r="B22" s="85" t="s">
        <v>524</v>
      </c>
      <c r="C22" s="116" t="n">
        <f aca="false">C6*C7</f>
        <v>3030787.2</v>
      </c>
    </row>
    <row r="23" customFormat="false" ht="15" hidden="false" customHeight="true" outlineLevel="0" collapsed="false">
      <c r="B23" s="28" t="s">
        <v>525</v>
      </c>
      <c r="C23" s="116" t="n">
        <f aca="false">C10</f>
        <v>40262</v>
      </c>
    </row>
    <row r="24" customFormat="false" ht="15" hidden="false" customHeight="true" outlineLevel="0" collapsed="false">
      <c r="B24" s="28" t="s">
        <v>526</v>
      </c>
      <c r="C24" s="117" t="n">
        <f aca="false">-C8</f>
        <v>-78272</v>
      </c>
    </row>
    <row r="25" customFormat="false" ht="15" hidden="false" customHeight="true" outlineLevel="0" collapsed="false">
      <c r="B25" s="28" t="s">
        <v>527</v>
      </c>
      <c r="C25" s="117" t="n">
        <f aca="false">-C9</f>
        <v>-33683</v>
      </c>
    </row>
    <row r="26" customFormat="false" ht="15" hidden="false" customHeight="true" outlineLevel="0" collapsed="false">
      <c r="B26" s="85" t="s">
        <v>528</v>
      </c>
      <c r="C26" s="118" t="n">
        <f aca="false">C22+C10-C8-C9</f>
        <v>2959094.2</v>
      </c>
    </row>
    <row r="27" customFormat="false" ht="15" hidden="false" customHeight="true" outlineLevel="0" collapsed="false">
      <c r="B27" s="28" t="s">
        <v>529</v>
      </c>
      <c r="C27" s="117" t="n">
        <f aca="false">-C13</f>
        <v>-460617.695052354</v>
      </c>
    </row>
    <row r="28" customFormat="false" ht="15" hidden="false" customHeight="true" outlineLevel="0" collapsed="false">
      <c r="B28" s="85" t="s">
        <v>530</v>
      </c>
      <c r="C28" s="118" t="n">
        <f aca="false">C26-C13</f>
        <v>2498476.50494765</v>
      </c>
    </row>
    <row r="29" customFormat="false" ht="15" hidden="false" customHeight="true" outlineLevel="0" collapsed="false">
      <c r="B29" s="85" t="s">
        <v>531</v>
      </c>
      <c r="C29" s="118" t="n">
        <f aca="false">C28*(1+C11)^5</f>
        <v>3866145.92569159</v>
      </c>
    </row>
    <row r="31" customFormat="false" ht="21.75" hidden="false" customHeight="true" outlineLevel="0" collapsed="false">
      <c r="B31" s="4" t="s">
        <v>532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12" t="s">
        <v>533</v>
      </c>
      <c r="C32" s="12"/>
      <c r="D32" s="12"/>
      <c r="E32" s="12"/>
      <c r="F32" s="12"/>
      <c r="G32" s="12"/>
    </row>
    <row r="33" customFormat="false" ht="17.25" hidden="false" customHeight="true" outlineLevel="0" collapsed="false">
      <c r="B33" s="85" t="s">
        <v>534</v>
      </c>
      <c r="C33" s="119" t="n">
        <f aca="false">(C29*C11-C14)/(C29+C14)</f>
        <v>0.0409705611192092</v>
      </c>
      <c r="D33" s="16" t="s">
        <v>535</v>
      </c>
      <c r="E33" s="120" t="n">
        <f aca="false">C33-C12</f>
        <v>0.0109705611192092</v>
      </c>
      <c r="G33" s="121" t="s">
        <v>536</v>
      </c>
    </row>
    <row r="35" customFormat="false" ht="21.75" hidden="false" customHeight="true" outlineLevel="0" collapsed="false">
      <c r="B35" s="4" t="s">
        <v>537</v>
      </c>
      <c r="C35" s="4"/>
      <c r="D35" s="4"/>
      <c r="E35" s="4"/>
      <c r="F35" s="4"/>
      <c r="G35" s="4"/>
    </row>
    <row r="36" customFormat="false" ht="15" hidden="false" customHeight="true" outlineLevel="0" collapsed="false">
      <c r="B36" s="12" t="s">
        <v>538</v>
      </c>
      <c r="C36" s="12"/>
      <c r="D36" s="12"/>
      <c r="E36" s="12"/>
      <c r="F36" s="12"/>
      <c r="G36" s="12"/>
    </row>
    <row r="37" customFormat="false" ht="15" hidden="false" customHeight="true" outlineLevel="0" collapsed="false">
      <c r="B37" s="14" t="s">
        <v>539</v>
      </c>
      <c r="C37" s="122" t="n">
        <v>0.075</v>
      </c>
      <c r="D37" s="122" t="n">
        <v>0.085</v>
      </c>
      <c r="E37" s="122" t="n">
        <v>0.0912</v>
      </c>
      <c r="F37" s="122" t="n">
        <v>0.095</v>
      </c>
      <c r="G37" s="122" t="n">
        <v>0.105</v>
      </c>
      <c r="H37" s="122" t="n">
        <v>0.115</v>
      </c>
    </row>
    <row r="38" customFormat="false" ht="15" hidden="false" customHeight="true" outlineLevel="0" collapsed="false">
      <c r="B38" s="123" t="s">
        <v>540</v>
      </c>
      <c r="C38" s="124" t="n">
        <f aca="false">((Modelo!C33/(1+C$37)^0.5 + Modelo!D33/(1+C$37)^1.5 + Modelo!E33/(1+C$37)^2.5 + Modelo!F33/(1+C$37)^3.5 + Modelo!G33/(1+C$37)^4.5)+(Modelo!G33*(1+C12)/(C$37-C12))/(1+C$37)^5+C8+C9-C10)/C7</f>
        <v>475.171795509028</v>
      </c>
      <c r="D38" s="124" t="n">
        <f aca="false">((Modelo!C33/(1+D$37)^0.5 + Modelo!D33/(1+D$37)^1.5 + Modelo!E33/(1+D$37)^2.5 + Modelo!F33/(1+D$37)^3.5 + Modelo!G33/(1+D$37)^4.5)+(Modelo!G33*(1+C12)/(D$37-C12))/(1+D$37)^5+C8+C9-C10)/C7</f>
        <v>385.73744827267</v>
      </c>
      <c r="E38" s="125" t="n">
        <f aca="false">((Modelo!C33/(1+E$37)^0.5 + Modelo!D33/(1+E$37)^1.5 + Modelo!E33/(1+E$37)^2.5 + Modelo!F33/(1+E$37)^3.5 + Modelo!G33/(1+E$37)^4.5)+(Modelo!G33*(1+C12)/(E$37-C12))/(1+E$37)^5+C8+C9-C10)/C7</f>
        <v>345.078840448624</v>
      </c>
      <c r="F38" s="124" t="n">
        <f aca="false">((Modelo!C33/(1+F$37)^0.5 + Modelo!D33/(1+F$37)^1.5 + Modelo!E33/(1+F$37)^2.5 + Modelo!F33/(1+F$37)^3.5 + Modelo!G33/(1+F$37)^4.5)+(Modelo!G33*(1+C12)/(F$37-C12))/(1+F$37)^5+C8+C9-C10)/C7</f>
        <v>324.031358579079</v>
      </c>
      <c r="G38" s="124" t="n">
        <f aca="false">((Modelo!C33/(1+G$37)^0.5 + Modelo!D33/(1+G$37)^1.5 + Modelo!E33/(1+G$37)^2.5 + Modelo!F33/(1+G$37)^3.5 + Modelo!G33/(1+G$37)^4.5)+(Modelo!G33*(1+C12)/(G$37-C12))/(1+G$37)^5+C8+C9-C10)/C7</f>
        <v>278.950676828592</v>
      </c>
      <c r="H38" s="124" t="n">
        <f aca="false">((Modelo!C33/(1+H$37)^0.5 + Modelo!D33/(1+H$37)^1.5 + Modelo!E33/(1+H$37)^2.5 + Modelo!F33/(1+H$37)^3.5 + Modelo!G33/(1+H$37)^4.5)+(Modelo!G33*(1+C12)/(H$37-C12))/(1+H$37)^5+C8+C9-C10)/C7</f>
        <v>244.618182251602</v>
      </c>
    </row>
    <row r="39" customFormat="false" ht="18.75" hidden="false" customHeight="true" outlineLevel="0" collapsed="false">
      <c r="B39" s="23" t="s">
        <v>541</v>
      </c>
      <c r="C39" s="119" t="n">
        <f aca="false">SLOPE(C37:H37,C38:H38)*C6+INTERCEPT(C37:H37,C38:H38)</f>
        <v>0.0831815171408801</v>
      </c>
      <c r="D39" s="16" t="s">
        <v>542</v>
      </c>
      <c r="E39" s="120" t="n">
        <f aca="false">C39-C11</f>
        <v>-0.00805928083005442</v>
      </c>
      <c r="G39" s="121" t="s">
        <v>543</v>
      </c>
    </row>
    <row r="41" customFormat="false" ht="21.75" hidden="false" customHeight="true" outlineLevel="0" collapsed="false">
      <c r="B41" s="4" t="s">
        <v>544</v>
      </c>
      <c r="C41" s="4"/>
      <c r="D41" s="4"/>
      <c r="E41" s="4"/>
      <c r="F41" s="4"/>
      <c r="G41" s="4"/>
    </row>
    <row r="42" customFormat="false" ht="15" hidden="false" customHeight="true" outlineLevel="0" collapsed="false">
      <c r="B42" s="12" t="s">
        <v>545</v>
      </c>
      <c r="C42" s="12"/>
      <c r="D42" s="12"/>
      <c r="E42" s="12"/>
      <c r="F42" s="12"/>
      <c r="G42" s="12"/>
    </row>
    <row r="43" customFormat="false" ht="15" hidden="false" customHeight="true" outlineLevel="0" collapsed="false">
      <c r="B43" s="85" t="s">
        <v>546</v>
      </c>
      <c r="C43" s="116" t="n">
        <f aca="false">C29*(C11-C12)/(1+C12)</f>
        <v>229869.768506243</v>
      </c>
      <c r="D43" s="16" t="s">
        <v>547</v>
      </c>
      <c r="E43" s="126" t="n">
        <f aca="false">C43/C14-1</f>
        <v>0.23120716027134</v>
      </c>
    </row>
    <row r="44" customFormat="false" ht="23.25" hidden="false" customHeight="true" outlineLevel="0" collapsed="false">
      <c r="B44" s="6" t="s">
        <v>548</v>
      </c>
      <c r="C44" s="116" t="n">
        <f aca="false">C43-C16-Modelo!G30-Modelo!G32</f>
        <v>246061.903977964</v>
      </c>
    </row>
    <row r="45" customFormat="false" ht="15" hidden="false" customHeight="true" outlineLevel="0" collapsed="false">
      <c r="B45" s="6" t="s">
        <v>549</v>
      </c>
      <c r="C45" s="116" t="n">
        <f aca="false">C44/(1-C19)</f>
        <v>300075.492656054</v>
      </c>
    </row>
    <row r="46" customFormat="false" ht="17.25" hidden="false" customHeight="true" outlineLevel="0" collapsed="false">
      <c r="B46" s="85" t="s">
        <v>550</v>
      </c>
      <c r="C46" s="127" t="n">
        <f aca="false">C45/C17</f>
        <v>0.555965258282562</v>
      </c>
      <c r="D46" s="16" t="s">
        <v>551</v>
      </c>
      <c r="E46" s="128" t="n">
        <f aca="false">C46-C15/C17</f>
        <v>0.0975338301346916</v>
      </c>
      <c r="G46" s="121" t="s">
        <v>552</v>
      </c>
    </row>
    <row r="48" customFormat="false" ht="21.75" hidden="false" customHeight="true" outlineLevel="0" collapsed="false">
      <c r="B48" s="4" t="s">
        <v>553</v>
      </c>
      <c r="C48" s="4"/>
      <c r="D48" s="4"/>
      <c r="E48" s="4"/>
      <c r="F48" s="4"/>
      <c r="G48" s="4"/>
    </row>
    <row r="49" customFormat="false" ht="15" hidden="false" customHeight="true" outlineLevel="0" collapsed="false">
      <c r="B49" s="28" t="s">
        <v>554</v>
      </c>
      <c r="C49" s="116" t="n">
        <f aca="false">C18+C16-C43-Modelo!G32</f>
        <v>51287.1098415148</v>
      </c>
    </row>
    <row r="50" customFormat="false" ht="17.25" hidden="false" customHeight="true" outlineLevel="0" collapsed="false">
      <c r="B50" s="85" t="s">
        <v>555</v>
      </c>
      <c r="C50" s="127" t="n">
        <f aca="false">C49/C17</f>
        <v>0.0950222592895529</v>
      </c>
      <c r="D50" s="16" t="s">
        <v>556</v>
      </c>
      <c r="E50" s="128" t="n">
        <f aca="false">C50-Hipotesis!$H$39</f>
        <v>-0.0549777407104471</v>
      </c>
      <c r="G50" s="121" t="s">
        <v>557</v>
      </c>
    </row>
    <row r="52" customFormat="false" ht="21.75" hidden="false" customHeight="true" outlineLevel="0" collapsed="false">
      <c r="B52" s="4" t="s">
        <v>558</v>
      </c>
      <c r="C52" s="4"/>
      <c r="D52" s="4"/>
      <c r="E52" s="4"/>
      <c r="F52" s="4"/>
      <c r="G52" s="4"/>
    </row>
    <row r="53" customFormat="false" ht="15" hidden="false" customHeight="true" outlineLevel="0" collapsed="false">
      <c r="B53" s="6" t="s">
        <v>559</v>
      </c>
      <c r="C53" s="116" t="n">
        <f aca="false">C13 + C14*(1+C12)/(C11-C12)/(1+C11)^5</f>
        <v>2489907.79794375</v>
      </c>
    </row>
    <row r="54" customFormat="false" ht="15" hidden="false" customHeight="true" outlineLevel="0" collapsed="false">
      <c r="B54" s="6" t="s">
        <v>560</v>
      </c>
      <c r="C54" s="129" t="n">
        <f aca="false">C26/C53</f>
        <v>1.18843525147547</v>
      </c>
    </row>
    <row r="55" customFormat="false" ht="15" hidden="false" customHeight="true" outlineLevel="0" collapsed="false">
      <c r="B55" s="6" t="s">
        <v>561</v>
      </c>
      <c r="C55" s="116" t="n">
        <f aca="false">C17*C54</f>
        <v>641443.48637532</v>
      </c>
    </row>
    <row r="56" customFormat="false" ht="18.75" hidden="false" customHeight="true" outlineLevel="0" collapsed="false">
      <c r="B56" s="85" t="s">
        <v>562</v>
      </c>
      <c r="C56" s="127" t="n">
        <f aca="false">(C55/Historico!G6)^(1/5)-1</f>
        <v>0.178872700354432</v>
      </c>
      <c r="D56" s="16" t="s">
        <v>563</v>
      </c>
      <c r="E56" s="128" t="n">
        <f aca="false">C56-((C17/Historico!G6)^(1/5)-1)</f>
        <v>0.0400088559351119</v>
      </c>
      <c r="G56" s="121" t="s">
        <v>564</v>
      </c>
    </row>
    <row r="58" customFormat="false" ht="21.75" hidden="false" customHeight="true" outlineLevel="0" collapsed="false">
      <c r="B58" s="4" t="s">
        <v>565</v>
      </c>
      <c r="C58" s="4"/>
      <c r="D58" s="4"/>
      <c r="E58" s="4"/>
      <c r="F58" s="4"/>
      <c r="G58" s="4"/>
    </row>
    <row r="59" customFormat="false" ht="23.25" hidden="false" customHeight="true" outlineLevel="0" collapsed="false">
      <c r="B59" s="14" t="s">
        <v>566</v>
      </c>
      <c r="C59" s="14" t="s">
        <v>567</v>
      </c>
      <c r="D59" s="14" t="s">
        <v>568</v>
      </c>
      <c r="E59" s="14" t="s">
        <v>569</v>
      </c>
      <c r="F59" s="14" t="s">
        <v>570</v>
      </c>
    </row>
    <row r="60" customFormat="false" ht="21.75" hidden="false" customHeight="true" outlineLevel="0" collapsed="false">
      <c r="B60" s="6" t="s">
        <v>571</v>
      </c>
      <c r="C60" s="130" t="n">
        <f aca="false">C12</f>
        <v>0.03</v>
      </c>
      <c r="D60" s="131" t="n">
        <f aca="false">C33</f>
        <v>0.0409705611192092</v>
      </c>
      <c r="E60" s="132" t="n">
        <f aca="false">D60-C60</f>
        <v>0.0109705611192092</v>
      </c>
      <c r="F60" s="121" t="s">
        <v>572</v>
      </c>
    </row>
    <row r="61" customFormat="false" ht="21.75" hidden="false" customHeight="true" outlineLevel="0" collapsed="false">
      <c r="B61" s="6" t="s">
        <v>573</v>
      </c>
      <c r="C61" s="133" t="n">
        <f aca="false">C11</f>
        <v>0.0912407979709345</v>
      </c>
      <c r="D61" s="134" t="n">
        <f aca="false">C39</f>
        <v>0.0831815171408801</v>
      </c>
      <c r="E61" s="135" t="n">
        <f aca="false">D61-C61</f>
        <v>-0.00805928083005442</v>
      </c>
      <c r="F61" s="121" t="s">
        <v>574</v>
      </c>
    </row>
    <row r="62" customFormat="false" ht="21.75" hidden="false" customHeight="true" outlineLevel="0" collapsed="false">
      <c r="B62" s="6" t="s">
        <v>575</v>
      </c>
      <c r="C62" s="130" t="n">
        <f aca="false">C15/C17</f>
        <v>0.45843142814787</v>
      </c>
      <c r="D62" s="131" t="n">
        <f aca="false">C45/C17</f>
        <v>0.555965258282562</v>
      </c>
      <c r="E62" s="132" t="n">
        <f aca="false">D62-C62</f>
        <v>0.0975338301346916</v>
      </c>
      <c r="F62" s="121" t="s">
        <v>576</v>
      </c>
    </row>
    <row r="63" customFormat="false" ht="21.75" hidden="false" customHeight="true" outlineLevel="0" collapsed="false">
      <c r="B63" s="6" t="s">
        <v>577</v>
      </c>
      <c r="C63" s="130" t="n">
        <f aca="false">Hipotesis!$H$39</f>
        <v>0.15</v>
      </c>
      <c r="D63" s="131" t="n">
        <f aca="false">C49/C17</f>
        <v>0.0950222592895529</v>
      </c>
      <c r="E63" s="132" t="n">
        <f aca="false">D63-C63</f>
        <v>-0.0549777407104471</v>
      </c>
      <c r="F63" s="121" t="s">
        <v>578</v>
      </c>
    </row>
    <row r="64" customFormat="false" ht="21.75" hidden="false" customHeight="true" outlineLevel="0" collapsed="false">
      <c r="B64" s="6" t="s">
        <v>579</v>
      </c>
      <c r="C64" s="130" t="n">
        <f aca="false">(C17/Historico!G6)^(1/5)-1</f>
        <v>0.13886384441932</v>
      </c>
      <c r="D64" s="131" t="n">
        <f aca="false">(C55/Historico!G6)^(1/5)-1</f>
        <v>0.178872700354432</v>
      </c>
      <c r="E64" s="132" t="n">
        <f aca="false">D64-C64</f>
        <v>0.0400088559351119</v>
      </c>
      <c r="F64" s="121" t="s">
        <v>580</v>
      </c>
    </row>
    <row r="66" customFormat="false" ht="21.75" hidden="false" customHeight="true" outlineLevel="0" collapsed="false">
      <c r="B66" s="4" t="s">
        <v>581</v>
      </c>
      <c r="C66" s="4"/>
      <c r="D66" s="4"/>
      <c r="E66" s="4"/>
      <c r="F66" s="4"/>
      <c r="G66" s="4"/>
    </row>
    <row r="67" customFormat="false" ht="31.5" hidden="false" customHeight="true" outlineLevel="0" collapsed="false">
      <c r="B67" s="136" t="s">
        <v>582</v>
      </c>
      <c r="C67" s="136"/>
      <c r="D67" s="136"/>
      <c r="E67" s="136"/>
      <c r="F67" s="136"/>
      <c r="G67" s="136"/>
    </row>
    <row r="68" customFormat="false" ht="31.5" hidden="false" customHeight="true" outlineLevel="0" collapsed="false">
      <c r="B68" s="136" t="s">
        <v>583</v>
      </c>
      <c r="C68" s="136"/>
      <c r="D68" s="136"/>
      <c r="E68" s="136"/>
      <c r="F68" s="136"/>
      <c r="G68" s="136"/>
    </row>
    <row r="69" customFormat="false" ht="31.5" hidden="false" customHeight="true" outlineLevel="0" collapsed="false">
      <c r="B69" s="136" t="s">
        <v>584</v>
      </c>
      <c r="C69" s="136"/>
      <c r="D69" s="136"/>
      <c r="E69" s="136"/>
      <c r="F69" s="136"/>
      <c r="G69" s="136"/>
    </row>
    <row r="70" customFormat="false" ht="31.5" hidden="false" customHeight="true" outlineLevel="0" collapsed="false">
      <c r="B70" s="136" t="s">
        <v>585</v>
      </c>
      <c r="C70" s="136"/>
      <c r="D70" s="136"/>
      <c r="E70" s="136"/>
      <c r="F70" s="136"/>
      <c r="G70" s="136"/>
    </row>
    <row r="71" customFormat="false" ht="31.5" hidden="false" customHeight="true" outlineLevel="0" collapsed="false">
      <c r="B71" s="136" t="s">
        <v>586</v>
      </c>
      <c r="C71" s="136"/>
      <c r="D71" s="136"/>
      <c r="E71" s="136"/>
      <c r="F71" s="136"/>
      <c r="G71" s="136"/>
    </row>
  </sheetData>
  <mergeCells count="19">
    <mergeCell ref="B2:G2"/>
    <mergeCell ref="B3:G3"/>
    <mergeCell ref="B5:G5"/>
    <mergeCell ref="B21:G21"/>
    <mergeCell ref="B31:G31"/>
    <mergeCell ref="B32:G32"/>
    <mergeCell ref="B35:G35"/>
    <mergeCell ref="B36:G36"/>
    <mergeCell ref="B41:G41"/>
    <mergeCell ref="B42:G42"/>
    <mergeCell ref="B48:G48"/>
    <mergeCell ref="B52:G52"/>
    <mergeCell ref="B58:G58"/>
    <mergeCell ref="B66:G66"/>
    <mergeCell ref="B67:G67"/>
    <mergeCell ref="B68:G68"/>
    <mergeCell ref="B69:G69"/>
    <mergeCell ref="B70:G70"/>
    <mergeCell ref="B71:G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75"/>
    <col collapsed="false" customWidth="true" hidden="false" outlineLevel="0" max="4" min="4" style="1" width="18"/>
  </cols>
  <sheetData>
    <row r="2" customFormat="false" ht="25.5" hidden="false" customHeight="true" outlineLevel="0" collapsed="false">
      <c r="B2" s="137" t="s">
        <v>587</v>
      </c>
      <c r="C2" s="137"/>
      <c r="D2" s="137"/>
    </row>
    <row r="3" customFormat="false" ht="15" hidden="false" customHeight="true" outlineLevel="0" collapsed="false">
      <c r="B3" s="82" t="s">
        <v>588</v>
      </c>
      <c r="C3" s="82"/>
      <c r="D3" s="82"/>
    </row>
    <row r="5" customFormat="false" ht="21.75" hidden="false" customHeight="true" outlineLevel="0" collapsed="false">
      <c r="B5" s="138" t="s">
        <v>589</v>
      </c>
      <c r="C5" s="138"/>
      <c r="D5" s="138"/>
    </row>
    <row r="6" customFormat="false" ht="97.5" hidden="false" customHeight="true" outlineLevel="0" collapsed="false">
      <c r="B6" s="139" t="s">
        <v>590</v>
      </c>
      <c r="C6" s="140" t="s">
        <v>591</v>
      </c>
    </row>
    <row r="8" customFormat="false" ht="21.75" hidden="false" customHeight="true" outlineLevel="0" collapsed="false">
      <c r="B8" s="138" t="s">
        <v>592</v>
      </c>
      <c r="C8" s="138"/>
      <c r="D8" s="138"/>
    </row>
    <row r="9" customFormat="false" ht="84" hidden="false" customHeight="true" outlineLevel="0" collapsed="false">
      <c r="B9" s="139" t="s">
        <v>593</v>
      </c>
      <c r="C9" s="141" t="s">
        <v>594</v>
      </c>
    </row>
    <row r="11" customFormat="false" ht="84" hidden="false" customHeight="true" outlineLevel="0" collapsed="false">
      <c r="B11" s="139" t="s">
        <v>595</v>
      </c>
      <c r="C11" s="142" t="s">
        <v>596</v>
      </c>
    </row>
    <row r="13" customFormat="false" ht="84" hidden="false" customHeight="true" outlineLevel="0" collapsed="false">
      <c r="B13" s="139" t="s">
        <v>597</v>
      </c>
      <c r="C13" s="143" t="s">
        <v>598</v>
      </c>
    </row>
    <row r="15" customFormat="false" ht="21.75" hidden="false" customHeight="true" outlineLevel="0" collapsed="false">
      <c r="B15" s="138" t="s">
        <v>599</v>
      </c>
      <c r="C15" s="138"/>
      <c r="D15" s="138"/>
    </row>
    <row r="16" customFormat="false" ht="15" hidden="false" customHeight="true" outlineLevel="0" collapsed="false">
      <c r="B16" s="144" t="s">
        <v>600</v>
      </c>
      <c r="C16" s="144" t="s">
        <v>601</v>
      </c>
      <c r="D16" s="144" t="s">
        <v>602</v>
      </c>
    </row>
    <row r="17" customFormat="false" ht="42" hidden="false" customHeight="true" outlineLevel="0" collapsed="false">
      <c r="B17" s="145" t="s">
        <v>603</v>
      </c>
      <c r="C17" s="146" t="s">
        <v>604</v>
      </c>
      <c r="D17" s="147" t="s">
        <v>605</v>
      </c>
    </row>
    <row r="18" customFormat="false" ht="42" hidden="false" customHeight="true" outlineLevel="0" collapsed="false">
      <c r="B18" s="139" t="s">
        <v>606</v>
      </c>
      <c r="C18" s="140" t="s">
        <v>607</v>
      </c>
      <c r="D18" s="148" t="s">
        <v>608</v>
      </c>
    </row>
    <row r="19" customFormat="false" ht="42" hidden="false" customHeight="true" outlineLevel="0" collapsed="false">
      <c r="B19" s="149" t="s">
        <v>609</v>
      </c>
      <c r="C19" s="150" t="s">
        <v>610</v>
      </c>
      <c r="D19" s="151" t="s">
        <v>611</v>
      </c>
    </row>
    <row r="20" customFormat="false" ht="42" hidden="false" customHeight="true" outlineLevel="0" collapsed="false">
      <c r="B20" s="152" t="s">
        <v>612</v>
      </c>
      <c r="C20" s="153" t="s">
        <v>613</v>
      </c>
      <c r="D20" s="154" t="s">
        <v>614</v>
      </c>
    </row>
    <row r="22" customFormat="false" ht="21.75" hidden="false" customHeight="true" outlineLevel="0" collapsed="false">
      <c r="B22" s="138" t="s">
        <v>615</v>
      </c>
      <c r="C22" s="138"/>
      <c r="D22" s="138"/>
    </row>
    <row r="23" customFormat="false" ht="37.5" hidden="false" customHeight="true" outlineLevel="0" collapsed="false">
      <c r="B23" s="139" t="s">
        <v>616</v>
      </c>
      <c r="C23" s="140" t="s">
        <v>617</v>
      </c>
    </row>
    <row r="24" customFormat="false" ht="37.5" hidden="false" customHeight="true" outlineLevel="0" collapsed="false">
      <c r="B24" s="139" t="s">
        <v>618</v>
      </c>
      <c r="C24" s="140" t="s">
        <v>619</v>
      </c>
    </row>
    <row r="25" customFormat="false" ht="37.5" hidden="false" customHeight="true" outlineLevel="0" collapsed="false">
      <c r="B25" s="139" t="s">
        <v>620</v>
      </c>
      <c r="C25" s="140" t="s">
        <v>621</v>
      </c>
    </row>
    <row r="26" customFormat="false" ht="37.5" hidden="false" customHeight="true" outlineLevel="0" collapsed="false">
      <c r="B26" s="139" t="s">
        <v>622</v>
      </c>
      <c r="C26" s="140" t="s">
        <v>623</v>
      </c>
    </row>
    <row r="27" customFormat="false" ht="37.5" hidden="false" customHeight="true" outlineLevel="0" collapsed="false">
      <c r="B27" s="139" t="s">
        <v>624</v>
      </c>
      <c r="C27" s="140" t="s">
        <v>625</v>
      </c>
    </row>
    <row r="28" customFormat="false" ht="37.5" hidden="false" customHeight="true" outlineLevel="0" collapsed="false">
      <c r="B28" s="139" t="s">
        <v>626</v>
      </c>
      <c r="C28" s="140" t="s">
        <v>627</v>
      </c>
    </row>
    <row r="30" customFormat="false" ht="21.75" hidden="false" customHeight="true" outlineLevel="0" collapsed="false">
      <c r="B30" s="138" t="s">
        <v>628</v>
      </c>
      <c r="C30" s="138"/>
      <c r="D30" s="138"/>
    </row>
    <row r="31" customFormat="false" ht="15" hidden="false" customHeight="true" outlineLevel="0" collapsed="false">
      <c r="B31" s="155" t="s">
        <v>629</v>
      </c>
      <c r="C31" s="155" t="s">
        <v>630</v>
      </c>
    </row>
    <row r="32" customFormat="false" ht="33.75" hidden="false" customHeight="true" outlineLevel="0" collapsed="false">
      <c r="B32" s="139" t="s">
        <v>631</v>
      </c>
      <c r="C32" s="140" t="s">
        <v>632</v>
      </c>
    </row>
    <row r="33" customFormat="false" ht="33.75" hidden="false" customHeight="true" outlineLevel="0" collapsed="false">
      <c r="B33" s="139" t="s">
        <v>633</v>
      </c>
      <c r="C33" s="140" t="s">
        <v>634</v>
      </c>
    </row>
    <row r="34" customFormat="false" ht="33.75" hidden="false" customHeight="true" outlineLevel="0" collapsed="false">
      <c r="B34" s="139" t="s">
        <v>635</v>
      </c>
      <c r="C34" s="140" t="s">
        <v>636</v>
      </c>
    </row>
    <row r="35" customFormat="false" ht="33.75" hidden="false" customHeight="true" outlineLevel="0" collapsed="false">
      <c r="B35" s="139" t="s">
        <v>637</v>
      </c>
      <c r="C35" s="140" t="s">
        <v>638</v>
      </c>
    </row>
    <row r="36" customFormat="false" ht="33.75" hidden="false" customHeight="true" outlineLevel="0" collapsed="false">
      <c r="B36" s="139" t="s">
        <v>639</v>
      </c>
      <c r="C36" s="140" t="s">
        <v>640</v>
      </c>
    </row>
    <row r="37" customFormat="false" ht="33.75" hidden="false" customHeight="true" outlineLevel="0" collapsed="false">
      <c r="B37" s="139" t="s">
        <v>641</v>
      </c>
      <c r="C37" s="140" t="s">
        <v>642</v>
      </c>
    </row>
    <row r="38" customFormat="false" ht="33.75" hidden="false" customHeight="true" outlineLevel="0" collapsed="false">
      <c r="B38" s="139" t="s">
        <v>643</v>
      </c>
      <c r="C38" s="140" t="s">
        <v>644</v>
      </c>
    </row>
    <row r="39" customFormat="false" ht="33.75" hidden="false" customHeight="true" outlineLevel="0" collapsed="false">
      <c r="B39" s="139" t="s">
        <v>645</v>
      </c>
      <c r="C39" s="140" t="s">
        <v>646</v>
      </c>
    </row>
    <row r="41" customFormat="false" ht="21.75" hidden="false" customHeight="true" outlineLevel="0" collapsed="false">
      <c r="B41" s="138" t="s">
        <v>647</v>
      </c>
      <c r="C41" s="138"/>
      <c r="D41" s="138"/>
    </row>
    <row r="42" customFormat="false" ht="55.5" hidden="false" customHeight="true" outlineLevel="0" collapsed="false">
      <c r="B42" s="139" t="s">
        <v>648</v>
      </c>
      <c r="C42" s="140" t="s">
        <v>649</v>
      </c>
    </row>
    <row r="43" customFormat="false" ht="55.5" hidden="false" customHeight="true" outlineLevel="0" collapsed="false">
      <c r="B43" s="139" t="s">
        <v>650</v>
      </c>
      <c r="C43" s="140" t="s">
        <v>651</v>
      </c>
    </row>
    <row r="44" customFormat="false" ht="42" hidden="false" customHeight="true" outlineLevel="0" collapsed="false">
      <c r="B44" s="139" t="s">
        <v>652</v>
      </c>
      <c r="C44" s="140" t="s">
        <v>653</v>
      </c>
    </row>
  </sheetData>
  <mergeCells count="8">
    <mergeCell ref="B2:D2"/>
    <mergeCell ref="B3:D3"/>
    <mergeCell ref="B5:D5"/>
    <mergeCell ref="B8:D8"/>
    <mergeCell ref="B15:D15"/>
    <mergeCell ref="B22:D22"/>
    <mergeCell ref="B30:D3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55"/>
  </cols>
  <sheetData>
    <row r="2" customFormat="false" ht="25.5" hidden="false" customHeight="true" outlineLevel="0" collapsed="false">
      <c r="B2" s="137" t="s">
        <v>654</v>
      </c>
      <c r="C2" s="137"/>
      <c r="D2" s="137"/>
      <c r="E2" s="137"/>
    </row>
    <row r="3" customFormat="false" ht="15" hidden="false" customHeight="true" outlineLevel="0" collapsed="false">
      <c r="B3" s="156" t="s">
        <v>655</v>
      </c>
      <c r="C3" s="156"/>
      <c r="D3" s="156"/>
      <c r="E3" s="156"/>
    </row>
    <row r="5" customFormat="false" ht="21.75" hidden="false" customHeight="true" outlineLevel="0" collapsed="false">
      <c r="B5" s="138" t="s">
        <v>656</v>
      </c>
      <c r="C5" s="138"/>
      <c r="D5" s="138"/>
      <c r="E5" s="138"/>
    </row>
    <row r="6" customFormat="false" ht="15" hidden="false" customHeight="true" outlineLevel="0" collapsed="false">
      <c r="B6" s="144" t="s">
        <v>657</v>
      </c>
      <c r="C6" s="144" t="s">
        <v>658</v>
      </c>
      <c r="D6" s="144" t="s">
        <v>659</v>
      </c>
      <c r="E6" s="144" t="s">
        <v>660</v>
      </c>
    </row>
    <row r="7" customFormat="false" ht="30" hidden="false" customHeight="true" outlineLevel="0" collapsed="false">
      <c r="B7" s="140" t="s">
        <v>661</v>
      </c>
      <c r="C7" s="16" t="s">
        <v>662</v>
      </c>
      <c r="D7" s="157" t="s">
        <v>663</v>
      </c>
      <c r="E7" s="158" t="s">
        <v>664</v>
      </c>
    </row>
    <row r="8" customFormat="false" ht="30" hidden="false" customHeight="true" outlineLevel="0" collapsed="false">
      <c r="B8" s="140" t="s">
        <v>665</v>
      </c>
      <c r="C8" s="16" t="s">
        <v>666</v>
      </c>
      <c r="D8" s="157" t="s">
        <v>667</v>
      </c>
      <c r="E8" s="158" t="s">
        <v>668</v>
      </c>
    </row>
    <row r="9" customFormat="false" ht="30" hidden="false" customHeight="true" outlineLevel="0" collapsed="false">
      <c r="B9" s="140" t="s">
        <v>669</v>
      </c>
      <c r="C9" s="16" t="s">
        <v>670</v>
      </c>
      <c r="D9" s="157" t="s">
        <v>671</v>
      </c>
      <c r="E9" s="158" t="s">
        <v>672</v>
      </c>
    </row>
    <row r="10" customFormat="false" ht="30" hidden="false" customHeight="true" outlineLevel="0" collapsed="false">
      <c r="B10" s="140" t="s">
        <v>673</v>
      </c>
      <c r="C10" s="16" t="s">
        <v>674</v>
      </c>
      <c r="D10" s="157" t="s">
        <v>675</v>
      </c>
      <c r="E10" s="158" t="s">
        <v>676</v>
      </c>
    </row>
    <row r="11" customFormat="false" ht="30" hidden="false" customHeight="true" outlineLevel="0" collapsed="false">
      <c r="B11" s="140" t="s">
        <v>677</v>
      </c>
      <c r="C11" s="16" t="s">
        <v>678</v>
      </c>
      <c r="D11" s="157" t="s">
        <v>679</v>
      </c>
      <c r="E11" s="158" t="s">
        <v>680</v>
      </c>
    </row>
    <row r="12" customFormat="false" ht="30" hidden="false" customHeight="true" outlineLevel="0" collapsed="false">
      <c r="B12" s="140" t="s">
        <v>681</v>
      </c>
      <c r="C12" s="16" t="s">
        <v>682</v>
      </c>
      <c r="D12" s="157" t="s">
        <v>683</v>
      </c>
      <c r="E12" s="158" t="s">
        <v>684</v>
      </c>
    </row>
    <row r="13" customFormat="false" ht="30" hidden="false" customHeight="true" outlineLevel="0" collapsed="false">
      <c r="B13" s="140" t="s">
        <v>685</v>
      </c>
      <c r="C13" s="16" t="s">
        <v>686</v>
      </c>
      <c r="D13" s="157" t="s">
        <v>687</v>
      </c>
      <c r="E13" s="158" t="s">
        <v>688</v>
      </c>
    </row>
    <row r="15" customFormat="false" ht="21.75" hidden="false" customHeight="true" outlineLevel="0" collapsed="false">
      <c r="B15" s="138" t="s">
        <v>689</v>
      </c>
      <c r="C15" s="138"/>
      <c r="D15" s="138"/>
      <c r="E15" s="138"/>
    </row>
    <row r="16" customFormat="false" ht="26.25" hidden="false" customHeight="true" outlineLevel="0" collapsed="false">
      <c r="B16" s="144" t="s">
        <v>690</v>
      </c>
      <c r="C16" s="144" t="s">
        <v>691</v>
      </c>
      <c r="D16" s="144" t="s">
        <v>659</v>
      </c>
      <c r="E16" s="144" t="s">
        <v>660</v>
      </c>
    </row>
    <row r="17" customFormat="false" ht="25.5" hidden="false" customHeight="true" outlineLevel="0" collapsed="false">
      <c r="B17" s="140" t="s">
        <v>692</v>
      </c>
      <c r="C17" s="140" t="s">
        <v>693</v>
      </c>
      <c r="D17" s="157" t="s">
        <v>694</v>
      </c>
      <c r="E17" s="158" t="s">
        <v>695</v>
      </c>
    </row>
    <row r="18" customFormat="false" ht="25.5" hidden="false" customHeight="true" outlineLevel="0" collapsed="false">
      <c r="B18" s="140" t="s">
        <v>696</v>
      </c>
      <c r="C18" s="140" t="s">
        <v>697</v>
      </c>
      <c r="D18" s="157" t="s">
        <v>698</v>
      </c>
      <c r="E18" s="158" t="s">
        <v>699</v>
      </c>
    </row>
    <row r="19" customFormat="false" ht="25.5" hidden="false" customHeight="true" outlineLevel="0" collapsed="false">
      <c r="B19" s="140" t="s">
        <v>700</v>
      </c>
      <c r="C19" s="140" t="s">
        <v>701</v>
      </c>
      <c r="D19" s="157" t="s">
        <v>702</v>
      </c>
      <c r="E19" s="158" t="s">
        <v>703</v>
      </c>
    </row>
    <row r="20" customFormat="false" ht="25.5" hidden="false" customHeight="true" outlineLevel="0" collapsed="false">
      <c r="B20" s="140" t="s">
        <v>704</v>
      </c>
      <c r="C20" s="140" t="s">
        <v>705</v>
      </c>
      <c r="D20" s="157" t="s">
        <v>706</v>
      </c>
      <c r="E20" s="158" t="s">
        <v>707</v>
      </c>
    </row>
    <row r="21" customFormat="false" ht="25.5" hidden="false" customHeight="true" outlineLevel="0" collapsed="false">
      <c r="B21" s="140" t="s">
        <v>708</v>
      </c>
      <c r="C21" s="140" t="s">
        <v>709</v>
      </c>
      <c r="D21" s="157" t="s">
        <v>710</v>
      </c>
      <c r="E21" s="158" t="s">
        <v>711</v>
      </c>
    </row>
    <row r="23" customFormat="false" ht="21.75" hidden="false" customHeight="true" outlineLevel="0" collapsed="false">
      <c r="B23" s="138" t="s">
        <v>712</v>
      </c>
      <c r="C23" s="138"/>
      <c r="D23" s="138"/>
      <c r="E23" s="138"/>
    </row>
    <row r="24" customFormat="false" ht="15" hidden="false" customHeight="true" outlineLevel="0" collapsed="false">
      <c r="B24" s="144" t="s">
        <v>713</v>
      </c>
      <c r="C24" s="144" t="s">
        <v>714</v>
      </c>
      <c r="D24" s="144" t="s">
        <v>659</v>
      </c>
      <c r="E24" s="144" t="s">
        <v>715</v>
      </c>
    </row>
    <row r="25" customFormat="false" ht="25.5" hidden="false" customHeight="true" outlineLevel="0" collapsed="false">
      <c r="B25" s="140" t="s">
        <v>716</v>
      </c>
      <c r="C25" s="140" t="s">
        <v>717</v>
      </c>
      <c r="D25" s="157" t="s">
        <v>718</v>
      </c>
      <c r="E25" s="158" t="s">
        <v>719</v>
      </c>
    </row>
    <row r="26" customFormat="false" ht="25.5" hidden="false" customHeight="true" outlineLevel="0" collapsed="false">
      <c r="B26" s="140" t="s">
        <v>720</v>
      </c>
      <c r="C26" s="140" t="s">
        <v>721</v>
      </c>
      <c r="D26" s="157" t="s">
        <v>722</v>
      </c>
      <c r="E26" s="158" t="s">
        <v>723</v>
      </c>
    </row>
    <row r="27" customFormat="false" ht="25.5" hidden="false" customHeight="true" outlineLevel="0" collapsed="false">
      <c r="B27" s="140" t="s">
        <v>724</v>
      </c>
      <c r="C27" s="140" t="s">
        <v>725</v>
      </c>
      <c r="D27" s="157" t="s">
        <v>726</v>
      </c>
      <c r="E27" s="158" t="s">
        <v>727</v>
      </c>
    </row>
    <row r="28" customFormat="false" ht="25.5" hidden="false" customHeight="true" outlineLevel="0" collapsed="false">
      <c r="B28" s="140" t="s">
        <v>728</v>
      </c>
      <c r="C28" s="140" t="s">
        <v>729</v>
      </c>
      <c r="D28" s="157" t="s">
        <v>730</v>
      </c>
      <c r="E28" s="158" t="s">
        <v>731</v>
      </c>
    </row>
    <row r="30" customFormat="false" ht="21.75" hidden="false" customHeight="true" outlineLevel="0" collapsed="false">
      <c r="B30" s="138" t="s">
        <v>732</v>
      </c>
      <c r="C30" s="138"/>
      <c r="D30" s="138"/>
      <c r="E30" s="138"/>
    </row>
    <row r="31" customFormat="false" ht="15" hidden="false" customHeight="true" outlineLevel="0" collapsed="false">
      <c r="B31" s="144" t="s">
        <v>657</v>
      </c>
      <c r="C31" s="144" t="s">
        <v>658</v>
      </c>
      <c r="D31" s="144" t="s">
        <v>733</v>
      </c>
      <c r="E31" s="144" t="s">
        <v>715</v>
      </c>
    </row>
    <row r="32" customFormat="false" ht="30" hidden="false" customHeight="true" outlineLevel="0" collapsed="false">
      <c r="B32" s="140" t="s">
        <v>734</v>
      </c>
      <c r="C32" s="140" t="s">
        <v>735</v>
      </c>
      <c r="D32" s="140" t="s">
        <v>736</v>
      </c>
      <c r="E32" s="158" t="s">
        <v>737</v>
      </c>
    </row>
    <row r="33" customFormat="false" ht="30" hidden="false" customHeight="true" outlineLevel="0" collapsed="false">
      <c r="B33" s="140" t="s">
        <v>738</v>
      </c>
      <c r="C33" s="140" t="s">
        <v>739</v>
      </c>
      <c r="D33" s="140" t="s">
        <v>740</v>
      </c>
      <c r="E33" s="158" t="s">
        <v>741</v>
      </c>
    </row>
    <row r="35" customFormat="false" ht="21.75" hidden="false" customHeight="true" outlineLevel="0" collapsed="false">
      <c r="B35" s="138" t="s">
        <v>742</v>
      </c>
      <c r="C35" s="138"/>
      <c r="D35" s="138"/>
      <c r="E35" s="138"/>
    </row>
    <row r="36" customFormat="false" ht="39" hidden="false" customHeight="true" outlineLevel="0" collapsed="false">
      <c r="B36" s="30" t="s">
        <v>743</v>
      </c>
      <c r="C36" s="30"/>
      <c r="D36" s="30"/>
      <c r="E36" s="30"/>
    </row>
    <row r="37" customFormat="false" ht="25.5" hidden="false" customHeight="true" outlineLevel="0" collapsed="false">
      <c r="B37" s="30" t="s">
        <v>744</v>
      </c>
      <c r="C37" s="30"/>
      <c r="D37" s="30"/>
      <c r="E37" s="30"/>
    </row>
    <row r="38" customFormat="false" ht="25.5" hidden="false" customHeight="true" outlineLevel="0" collapsed="false">
      <c r="B38" s="30" t="s">
        <v>745</v>
      </c>
      <c r="C38" s="30"/>
      <c r="D38" s="30"/>
      <c r="E38" s="30"/>
    </row>
    <row r="39" customFormat="false" ht="25.5" hidden="false" customHeight="true" outlineLevel="0" collapsed="false">
      <c r="B39" s="30" t="s">
        <v>746</v>
      </c>
      <c r="C39" s="30"/>
      <c r="D39" s="30"/>
      <c r="E39" s="30"/>
    </row>
    <row r="40" customFormat="false" ht="25.5" hidden="false" customHeight="true" outlineLevel="0" collapsed="false">
      <c r="B40" s="30" t="s">
        <v>747</v>
      </c>
      <c r="C40" s="30"/>
      <c r="D40" s="30"/>
      <c r="E40" s="30"/>
    </row>
    <row r="41" customFormat="false" ht="25.5" hidden="false" customHeight="true" outlineLevel="0" collapsed="false">
      <c r="B41" s="30" t="s">
        <v>748</v>
      </c>
      <c r="C41" s="30"/>
      <c r="D41" s="30"/>
      <c r="E41" s="30"/>
    </row>
    <row r="42" customFormat="false" ht="25.5" hidden="false" customHeight="true" outlineLevel="0" collapsed="false">
      <c r="B42" s="30" t="s">
        <v>749</v>
      </c>
      <c r="C42" s="30"/>
      <c r="D42" s="30"/>
      <c r="E42" s="30"/>
    </row>
    <row r="43" customFormat="false" ht="25.5" hidden="false" customHeight="true" outlineLevel="0" collapsed="false">
      <c r="B43" s="30" t="s">
        <v>750</v>
      </c>
      <c r="C43" s="30"/>
      <c r="D43" s="30"/>
      <c r="E43" s="30"/>
    </row>
    <row r="44" customFormat="false" ht="25.5" hidden="false" customHeight="true" outlineLevel="0" collapsed="false">
      <c r="B44" s="30" t="s">
        <v>751</v>
      </c>
      <c r="C44" s="30"/>
      <c r="D44" s="30"/>
      <c r="E44" s="30"/>
    </row>
    <row r="45" customFormat="false" ht="25.5" hidden="false" customHeight="true" outlineLevel="0" collapsed="false">
      <c r="B45" s="30" t="s">
        <v>752</v>
      </c>
      <c r="C45" s="30"/>
      <c r="D45" s="30"/>
      <c r="E45" s="30"/>
    </row>
    <row r="47" customFormat="false" ht="15" hidden="false" customHeight="true" outlineLevel="0" collapsed="false">
      <c r="B47" s="156" t="s">
        <v>753</v>
      </c>
      <c r="C47" s="156"/>
      <c r="D47" s="156"/>
      <c r="E47" s="156"/>
    </row>
  </sheetData>
  <mergeCells count="18">
    <mergeCell ref="B2:E2"/>
    <mergeCell ref="B3:E3"/>
    <mergeCell ref="B5:E5"/>
    <mergeCell ref="B15:E15"/>
    <mergeCell ref="B23:E23"/>
    <mergeCell ref="B30:E30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7:E47"/>
  </mergeCells>
  <hyperlinks>
    <hyperlink ref="D7" r:id="rId1" display="https://www.sec.gov/Archives/edgar/data/789019/000095017025100235/msft-20250630.htm"/>
    <hyperlink ref="D8" r:id="rId2" display="https://www.sec.gov/Archives/edgar/data/0000789019/000119312526191507/msft-20260331.htm"/>
    <hyperlink ref="D9" r:id="rId3" display="https://www.microsoft.com/en-us/investor/earnings/fy-2026-q3/press-release-webcast"/>
    <hyperlink ref="D10" r:id="rId4" display="https://www.sec.gov/Archives/edgar/data/789019/000095017024087843/msft-20240630.htm"/>
    <hyperlink ref="D11" r:id="rId5" display="https://www.sec.gov/Archives/edgar/data/789019/000095017023035122/msft-20230630.htm"/>
    <hyperlink ref="D12" r:id="rId6" display="https://www.sec.gov/Archives/edgar/data/789019/000156459022026876/msft-10k_20220630.htm"/>
    <hyperlink ref="D13" r:id="rId7" display="https://www.sec.gov/Archives/edgar/data/789019/000156459021039151/msft-10k_20210630.htm"/>
    <hyperlink ref="D17" r:id="rId8" display="https://fred.stlouisfed.org/series/DGS10"/>
    <hyperlink ref="D18" r:id="rId9" display="https://pages.stern.nyu.edu/~adamodar/"/>
    <hyperlink ref="D19" r:id="rId10" display="https://finance.yahoo.com/quote/MSFT"/>
    <hyperlink ref="D20" r:id="rId11" display="https://finance.yahoo.com/quote/MSFT/history"/>
    <hyperlink ref="D21" r:id="rId12" display="https://pages.stern.nyu.edu/~adamodar/New_Home_Page/datafile/Betas.html"/>
    <hyperlink ref="D25" r:id="rId13" display="https://abc.xyz/investor/"/>
    <hyperlink ref="D26" r:id="rId14" display="https://ir.aboutamazon.com/"/>
    <hyperlink ref="D27" r:id="rId15" display="https://investor.oracle.com/"/>
    <hyperlink ref="D28" r:id="rId16" display="https://www.sec.gov/cgi-bin/browse-edgar?action=getcompany&amp;CIK=000133652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2026-05-17T16:55:37Z</dcterms:created>
  <dc:creator>openpyxl</dc:creator>
  <dc:description/>
  <dc:language>en-US</dc:language>
  <cp:lastModifiedBy/>
  <dcterms:modified xsi:type="dcterms:W3CDTF">2026-05-17T17:01:07Z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