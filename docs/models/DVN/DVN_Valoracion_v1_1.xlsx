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Hipotesis" sheetId="2" state="visible" r:id="rId4"/>
    <sheet name="Historico" sheetId="3" state="visible" r:id="rId5"/>
    <sheet name="Modelo" sheetId="4" state="visible" r:id="rId6"/>
    <sheet name="DuPont_WC" sheetId="5" state="visible" r:id="rId7"/>
    <sheet name="Reverse_DCF" sheetId="6" state="visible" r:id="rId8"/>
    <sheet name="Conclusiones" sheetId="7" state="visible" r:id="rId9"/>
    <sheet name="Fuent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Source: Robinhood/Google Finance, 15-may-2026, intraday ~$405-410</t>
        </r>
      </text>
    </comment>
    <comment ref="C7" authorId="0">
      <text>
        <r>
          <rPr>
            <sz val="10"/>
            <rFont val="Arial"/>
            <family val="2"/>
          </rPr>
          <t xml:space="preserve">Source: MSFT 10-Q Q3 FY2026, diluted weighted-avg shares (Note 2 EPS)</t>
        </r>
      </text>
    </comment>
    <comment ref="C8" authorId="0">
      <text>
        <r>
          <rPr>
            <sz val="10"/>
            <rFont val="Arial"/>
            <family val="2"/>
          </rPr>
          <t xml:space="preserve">Source: MSFT 10-Q Q3 FY26 cover, shares outstanding as of 23-abr-2026</t>
        </r>
      </text>
    </comment>
    <comment ref="C9" authorId="0">
      <text>
        <r>
          <rPr>
            <sz val="10"/>
            <rFont val="Arial"/>
            <family val="2"/>
          </rPr>
          <t xml:space="preserve">Source: FRED DGS10, 15-may-2026; máximo 1-año por tensiones Iran/inflación</t>
        </r>
      </text>
    </comment>
    <comment ref="C10" authorId="0">
      <text>
        <r>
          <rPr>
            <sz val="10"/>
            <rFont val="Arial"/>
            <family val="2"/>
          </rPr>
          <t xml:space="preserve">Source: Damodaran ERP 2026 Edition, ene-2026, implied ERP S&amp;P500</t>
        </r>
      </text>
    </comment>
    <comment ref="C11" authorId="0">
      <text>
        <r>
          <rPr>
            <sz val="10"/>
            <rFont val="Arial"/>
            <family val="2"/>
          </rPr>
          <t xml:space="preserve">Source: Google Finance / Yahoo Finance, 15-may-2026</t>
        </r>
      </text>
    </comment>
    <comment ref="C12" authorId="0">
      <text>
        <r>
          <rPr>
            <sz val="10"/>
            <rFont val="Arial"/>
            <family val="2"/>
          </rPr>
          <t xml:space="preserve">Source: 10-Q AAA rating + ~25bp spread over 10Y UST</t>
        </r>
      </text>
    </comment>
    <comment ref="C13" authorId="0">
      <text>
        <r>
          <rPr>
            <sz val="10"/>
            <rFont val="Arial"/>
            <family val="2"/>
          </rPr>
          <t xml:space="preserve">Source: MSFT 10-K FY2025 Note 12, effective rate FY24=FY25=18%</t>
        </r>
      </text>
    </comment>
    <comment ref="C14" authorId="0">
      <text>
        <r>
          <rPr>
            <sz val="10"/>
            <rFont val="Arial"/>
            <family val="2"/>
          </rPr>
          <t xml:space="preserve">Source: MSFT 10-Q Q3 FY26 BS, current LTD $8,839 + LTD $31,423 = $40,262M</t>
        </r>
      </text>
    </comment>
    <comment ref="C15" authorId="0">
      <text>
        <r>
          <rPr>
            <sz val="10"/>
            <rFont val="Arial"/>
            <family val="2"/>
          </rPr>
          <t xml:space="preserve">Source: MSFT 10-Q Q3 FY26 BS, Cash $32,105 + ST inv $46,167 = $78,272M</t>
        </r>
      </text>
    </comment>
    <comment ref="C16" authorId="0">
      <text>
        <r>
          <rPr>
            <sz val="10"/>
            <rFont val="Arial"/>
            <family val="2"/>
          </rPr>
          <t xml:space="preserve">Source: MSFT 10-Q Q3 FY26 BS; incluye OpenAI ~27% equity stake</t>
        </r>
      </text>
    </comment>
  </commentList>
</comments>
</file>

<file path=xl/sharedStrings.xml><?xml version="1.0" encoding="utf-8"?>
<sst xmlns="http://schemas.openxmlformats.org/spreadsheetml/2006/main" count="954" uniqueCount="834">
  <si>
    <t xml:space="preserve">DEVON ENERGY (DVN) — RESUMEN EJECUTIVO DE VALORACION</t>
  </si>
  <si>
    <t xml:space="preserve">Modelo valoración integral · Fecha valoración: 19-may-2026 · Pro-forma Devon+Coterra (cierre 7-may-2026)</t>
  </si>
  <si>
    <t xml:space="preserve">  1. COMPANY SNAPSHOT  /  MARKET DATA (15-may-2026)</t>
  </si>
  <si>
    <t xml:space="preserve">CEO</t>
  </si>
  <si>
    <t xml:space="preserve">Clay Gaspar</t>
  </si>
  <si>
    <t xml:space="preserve">Spot ($)</t>
  </si>
  <si>
    <t xml:space="preserve">CFO</t>
  </si>
  <si>
    <t xml:space="preserve">Shannon Young III</t>
  </si>
  <si>
    <t xml:space="preserve">Market Cap ($B)</t>
  </si>
  <si>
    <t xml:space="preserve">Headquarters</t>
  </si>
  <si>
    <t xml:space="preserve">Oklahoma City, OK (HQ) + Houston (oficinas operativas, post-merger)</t>
  </si>
  <si>
    <t xml:space="preserve">Enterprise Value ($B)</t>
  </si>
  <si>
    <t xml:space="preserve">Fundada</t>
  </si>
  <si>
    <t xml:space="preserve">1971 (Devon Energy); 1989 IPO</t>
  </si>
  <si>
    <t xml:space="preserve">Shares Outstanding (M)</t>
  </si>
  <si>
    <t xml:space="preserve">Empleados (FY25)</t>
  </si>
  <si>
    <t xml:space="preserve">~3,400 (DVN pre-merger) + ~1,400 (CTRA) ≈ ~4,800 post-merger (est.)</t>
  </si>
  <si>
    <t xml:space="preserve">52-week range</t>
  </si>
  <si>
    <t xml:space="preserve">$30.24 – $52.71 (52-week, May-2026)</t>
  </si>
  <si>
    <t xml:space="preserve">Año fiscal</t>
  </si>
  <si>
    <t xml:space="preserve">Año calendario, cierre 31-dic</t>
  </si>
  <si>
    <t xml:space="preserve">All-time high (close)</t>
  </si>
  <si>
    <t xml:space="preserve">$78.65 (Mar-2014 close adjustado)</t>
  </si>
  <si>
    <t xml:space="preserve">Sector</t>
  </si>
  <si>
    <t xml:space="preserve">Exploración &amp; Producción (E&amp;P) — Petróleo, Gas natural, NGLs</t>
  </si>
  <si>
    <t xml:space="preserve">P/E TTM</t>
  </si>
  <si>
    <t xml:space="preserve">~13.8× (post Q1 2026 EPS)</t>
  </si>
  <si>
    <t xml:space="preserve">Segmentos reportados</t>
  </si>
  <si>
    <t xml:space="preserve">4 commodity lines: Oil, Gas, NGL, Marketing &amp; Midstream (M&amp;M pass-through)</t>
  </si>
  <si>
    <t xml:space="preserve">EPS TTM</t>
  </si>
  <si>
    <t xml:space="preserve">$2.16 (FY25 adj diluted) · $0.19 (Q1 26)</t>
  </si>
  <si>
    <t xml:space="preserve">Ticker / Exchange</t>
  </si>
  <si>
    <t xml:space="preserve">DVN / NYSE</t>
  </si>
  <si>
    <t xml:space="preserve">Beta (5Y)</t>
  </si>
  <si>
    <t xml:space="preserve">Index</t>
  </si>
  <si>
    <t xml:space="preserve">S&amp;P 500, S&amp;P 500 Energy</t>
  </si>
  <si>
    <t xml:space="preserve">Dividend Yield</t>
  </si>
  <si>
    <t xml:space="preserve">~1.85% ($0.92/sh annualized: $0.24 fixed quarterly)</t>
  </si>
  <si>
    <t xml:space="preserve">  2. Q1 2026 EARNINGS HIGHLIGHTS  (trimestre cerrado 31-mar-2026, reportado 5-may-2026)</t>
  </si>
  <si>
    <t xml:space="preserve">Revenue Q1 (DVN standalone)</t>
  </si>
  <si>
    <t xml:space="preserve">$3,807M</t>
  </si>
  <si>
    <t xml:space="preserve">vs $4,455M Q1 25 (−14.5% YoY, oil price weak)</t>
  </si>
  <si>
    <t xml:space="preserve">Operating Income Q1</t>
  </si>
  <si>
    <t xml:space="preserve">$275M</t>
  </si>
  <si>
    <t xml:space="preserve">Margin 7.2% (cyclical low)</t>
  </si>
  <si>
    <t xml:space="preserve">Net Income Q1</t>
  </si>
  <si>
    <t xml:space="preserve">$120M</t>
  </si>
  <si>
    <t xml:space="preserve">Diluted EPS $0.19</t>
  </si>
  <si>
    <t xml:space="preserve">Oil production Q1 (MBbls/d)</t>
  </si>
  <si>
    <t xml:space="preserve">389 MBbls/d</t>
  </si>
  <si>
    <t xml:space="preserve">Realized $69.66/Bbl</t>
  </si>
  <si>
    <t xml:space="preserve">Gas production Q1 (MMcf/d)</t>
  </si>
  <si>
    <t xml:space="preserve">1,420 MMcf/d</t>
  </si>
  <si>
    <t xml:space="preserve">Realized $1.66/Mcf</t>
  </si>
  <si>
    <t xml:space="preserve">NGL production Q1 (MBbls/d)</t>
  </si>
  <si>
    <t xml:space="preserve">225 MBbls/d</t>
  </si>
  <si>
    <t xml:space="preserve">Realized $17.80/Bbl</t>
  </si>
  <si>
    <t xml:space="preserve">Total production Q1 (MBoe/d)</t>
  </si>
  <si>
    <t xml:space="preserve">851 MBoe/d</t>
  </si>
  <si>
    <t xml:space="preserve">Field-level cash margin $27.78/Boe</t>
  </si>
  <si>
    <t xml:space="preserve">Coterra merger close</t>
  </si>
  <si>
    <t xml:space="preserve">7-may-2026</t>
  </si>
  <si>
    <t xml:space="preserve">All-stock: 0.70 DVN per CTRA share</t>
  </si>
  <si>
    <t xml:space="preserve">Proved reserves (DVN, YE25)</t>
  </si>
  <si>
    <t xml:space="preserve">2,428 MMBoe</t>
  </si>
  <si>
    <t xml:space="preserve">Pro-forma combined: ~3,650 MMBoe (est.)</t>
  </si>
  <si>
    <t xml:space="preserve">Synergies anunciadas (target)</t>
  </si>
  <si>
    <t xml:space="preserve">$1,000M anuales pre-tax</t>
  </si>
  <si>
    <t xml:space="preserve">YE 2027 run-rate (G&amp;A 50%, capex/ops 50%)</t>
  </si>
  <si>
    <t xml:space="preserve">Capex Q1</t>
  </si>
  <si>
    <t xml:space="preserve">$848M</t>
  </si>
  <si>
    <t xml:space="preserve">22.3% Capex/Revenue (Q1 estacional alto)</t>
  </si>
  <si>
    <t xml:space="preserve">FCF Q1</t>
  </si>
  <si>
    <t xml:space="preserve">$807M</t>
  </si>
  <si>
    <t xml:space="preserve">OCF $1,655M − Capex $848M</t>
  </si>
  <si>
    <t xml:space="preserve">Buyback Q1</t>
  </si>
  <si>
    <t xml:space="preserve">$152M</t>
  </si>
  <si>
    <t xml:space="preserve">Post-merger: $8,000M autorizado</t>
  </si>
  <si>
    <t xml:space="preserve">Dividends Q1</t>
  </si>
  <si>
    <t xml:space="preserve">$0.24/sh fixed quarterly + variable potentialmente</t>
  </si>
  <si>
    <t xml:space="preserve">  3. 5-YEAR HISTORICAL FINANCIALS — DVN STANDALONE  (FY21-FY25, $mm except per-share / ratios)</t>
  </si>
  <si>
    <t xml:space="preserve">Metric</t>
  </si>
  <si>
    <t xml:space="preserve">FY21</t>
  </si>
  <si>
    <t xml:space="preserve">FY22</t>
  </si>
  <si>
    <t xml:space="preserve">FY23</t>
  </si>
  <si>
    <t xml:space="preserve">FY24</t>
  </si>
  <si>
    <t xml:space="preserve">FY25</t>
  </si>
  <si>
    <t xml:space="preserve">Revenue ($mm)</t>
  </si>
  <si>
    <t xml:space="preserve">YoY growth</t>
  </si>
  <si>
    <t xml:space="preserve">n/a</t>
  </si>
  <si>
    <t xml:space="preserve">+57.0%</t>
  </si>
  <si>
    <t xml:space="preserve">−20.4%</t>
  </si>
  <si>
    <t xml:space="preserve">+4.5%</t>
  </si>
  <si>
    <t xml:space="preserve">+7.8%</t>
  </si>
  <si>
    <t xml:space="preserve">Operating Income</t>
  </si>
  <si>
    <t xml:space="preserve">Operating margin</t>
  </si>
  <si>
    <t xml:space="preserve">54.3%</t>
  </si>
  <si>
    <t xml:space="preserve">60.3%</t>
  </si>
  <si>
    <t xml:space="preserve">38.6%</t>
  </si>
  <si>
    <t xml:space="preserve">33.3%</t>
  </si>
  <si>
    <t xml:space="preserve">22.3%</t>
  </si>
  <si>
    <t xml:space="preserve">Net Income</t>
  </si>
  <si>
    <t xml:space="preserve">Diluted EPS</t>
  </si>
  <si>
    <t xml:space="preserve">OCF</t>
  </si>
  <si>
    <t xml:space="preserve">Capex</t>
  </si>
  <si>
    <t xml:space="preserve">Free Cash Flow</t>
  </si>
  <si>
    <t xml:space="preserve">Buybacks</t>
  </si>
  <si>
    <t xml:space="preserve">Dividends</t>
  </si>
  <si>
    <t xml:space="preserve">  4. VALUATION RESULTS — 8 metodologías (live link to Modelo, post-merger pro-forma)</t>
  </si>
  <si>
    <t xml:space="preserve">Method</t>
  </si>
  <si>
    <t xml:space="preserve">Implied Price</t>
  </si>
  <si>
    <t xml:space="preserve">Upside vs spot $49.49</t>
  </si>
  <si>
    <t xml:space="preserve">1. DCF Gordon Growth</t>
  </si>
  <si>
    <t xml:space="preserve">2. DCF H-Model (fade)</t>
  </si>
  <si>
    <t xml:space="preserve">3. DCF Exit EV/EBITDA</t>
  </si>
  <si>
    <t xml:space="preserve">4. DCF Exit EV/EBIT</t>
  </si>
  <si>
    <t xml:space="preserve">5. DCF Exit EV/Revenue</t>
  </si>
  <si>
    <t xml:space="preserve">6. NTM P/E × FY27E EPS</t>
  </si>
  <si>
    <t xml:space="preserve">7. NTM EV/EBITDA × FY27E EBITDA</t>
  </si>
  <si>
    <t xml:space="preserve">8. NTM EV/Revenue × FY27E Revenue</t>
  </si>
  <si>
    <t xml:space="preserve">MEDIANA (target price central)</t>
  </si>
  <si>
    <t xml:space="preserve">Promedio (8 métodos)</t>
  </si>
  <si>
    <t xml:space="preserve">Rango Min – Max</t>
  </si>
  <si>
    <t xml:space="preserve">  5. INVESTMENT THESIS  (resumen ejecutivo)</t>
  </si>
  <si>
    <t xml:space="preserve">Target price (mediana, sin descuento)</t>
  </si>
  <si>
    <t xml:space="preserve">vs spot $49.49:</t>
  </si>
  <si>
    <t xml:space="preserve">▸ Devon (post-Coterra) cotiza a ~13.8× P/E TTM y ~5.0× EV/EBITDA pro-forma — consistente con el peer group E&amp;P de gran capitalización (EOG ~10×, FANG ~5×, COP ~10×) en un punto bajo del ciclo del petróleo (WTI ~$60-65).</t>
  </si>
  <si>
    <t xml:space="preserve">▸ La fusión con Coterra (cerrada 7-mayo-2026) añade ~767M shares, $7.7B revenue Marcellus-pesado, y diversifica la mezcla hacia gas natural. Pro-forma la producción es ~1,587 MBoe/d (Oil 33%, Gas 50%, NGL 17%), reduciendo la sensibilidad puntual al WTI vs DVN standalone.</t>
  </si>
  <si>
    <t xml:space="preserve">▸ $1,000M de sinergias anuales pre-tax target (YE 2027 run-rate; 50% G&amp;A, 50% capex/ops eficiencia). En la valoración asumimos ramp 40% año 1 y 100% año 2+, descontando crédito creciente del management.</t>
  </si>
  <si>
    <t xml:space="preserve">▸ La tesis NO es de "compounder" — es de FCF mid-cycle. La operating margin colapsa en cíclos bajos (FY25: 22% vs FY22: 60%) por el apalancamiento operativo a precios de commodities. La pregunta clave es si el FCF normalizado a través del ciclo es atractivo.</t>
  </si>
  <si>
    <t xml:space="preserve">▸ Capex split (clave para distinguir valor): asumimos ~85% maintenance / 15% growth en FY26E, transicionando a ~95/5% en terminal. El maintenance capex per Boe (~$10/Boe = F&amp;D cost) es la métrica más relevante; debajo del histórico DVN ~$11-12/Boe sería bullish.</t>
  </si>
  <si>
    <t xml:space="preserve">▸ Sensibilidades clave: cada +$5/Bbl en precio realizado del crudo ≈ ±$8 en precio objetivo. Cada +100bp WACC ≈ −$6 precio. Beta sectorial E&amp;P 1.20 (Damodaran), no la 0.43 de Google que sub-estima riesgo cíclico.</t>
  </si>
  <si>
    <t xml:space="preserve">▸ Tesis base: mediana 8 métodos = $45.99, ligero downside −7% vs spot $49.49. Rango amplio $17.63–$63.10 refleja la incertidumbre cíclica genuina. NO es "obvious buy": valor depende crucialmente del deck de precios y la ejecución del integration.</t>
  </si>
  <si>
    <t xml:space="preserve">Detalle metodológico en hojas Hipotesis, Historico, Modelo, DuPont_WC, Conclusiones. Fuentes en hoja Fuentes.</t>
  </si>
  <si>
    <t xml:space="preserve">DVN — HIPOTESIS Y SUPUESTOS DE VALORACION  (Pro-forma post-merger Devon+Coterra)</t>
  </si>
  <si>
    <t xml:space="preserve">LEYENDA:</t>
  </si>
  <si>
    <t xml:space="preserve">Input (hardcoded)</t>
  </si>
  <si>
    <t xml:space="preserve">Driver clave</t>
  </si>
  <si>
    <t xml:space="preserve">Formula</t>
  </si>
  <si>
    <t xml:space="preserve">Link a otra hoja</t>
  </si>
  <si>
    <t xml:space="preserve">Resultado/output</t>
  </si>
  <si>
    <t xml:space="preserve">  1. MERCADO Y COSTE DE CAPITAL</t>
  </si>
  <si>
    <t xml:space="preserve">Concepto</t>
  </si>
  <si>
    <t xml:space="preserve">Valor</t>
  </si>
  <si>
    <t xml:space="preserve">Fuente / Nota</t>
  </si>
  <si>
    <t xml:space="preserve">Spot price DVN ($)</t>
  </si>
  <si>
    <t xml:space="preserve">Source: Devon IR investor relations page, 15-may-2026 EOD</t>
  </si>
  <si>
    <t xml:space="preserve">Diluted shares outstanding post-merger (M)</t>
  </si>
  <si>
    <t xml:space="preserve">Source: Merger close 5/7/2026 — 616M DVN + 0.70x × 767M CTRA = 1,153M combined</t>
  </si>
  <si>
    <t xml:space="preserve">Shares outstanding actual (M)</t>
  </si>
  <si>
    <t xml:space="preserve">Source: Post-merger; Google Finance/Robinhood show ~1.15B</t>
  </si>
  <si>
    <t xml:space="preserve">Risk-free rate (10Y UST, %)</t>
  </si>
  <si>
    <t xml:space="preserve">Source: FRED DGS10, May-2026; ~4.5% mid-range</t>
  </si>
  <si>
    <t xml:space="preserve">Equity Risk Premium implícita (%)</t>
  </si>
  <si>
    <t xml:space="preserve">Source: Damodaran ERP 2026 Edition, ene-2026, implied ERP S&amp;P500</t>
  </si>
  <si>
    <t xml:space="preserve">Beta (5Y E&amp;P sector)</t>
  </si>
  <si>
    <t xml:space="preserve">Source: Damodaran sector betas E&amp;P ~1.10-1.25; Google Finance DVN beta 0.43 (post-Coterra spike). Use sectorial 1.20</t>
  </si>
  <si>
    <t xml:space="preserve">Pre-tax cost of debt (%)</t>
  </si>
  <si>
    <t xml:space="preserve">Source: DVN investment-grade BBB+; ~100bp spread over 10Y UST</t>
  </si>
  <si>
    <t xml:space="preserve">Effective tax rate (%)</t>
  </si>
  <si>
    <t xml:space="preserve">Source: DVN 10-K FY24 21%, FY25 23% (state taxes + OBBB minimum); use 22% normalized</t>
  </si>
  <si>
    <t xml:space="preserve">Total Debt PRO-FORMA ($mm)</t>
  </si>
  <si>
    <t xml:space="preserve">Source: DVN Q1 2026 8-K $8,386M + Coterra FY25 ~$3,800M (post Tranche B paydown Feb-26)</t>
  </si>
  <si>
    <t xml:space="preserve">Cash + ST investments PRO-FORMA ($mm)</t>
  </si>
  <si>
    <t xml:space="preserve">Source: DVN Q1 2026 $1,815M cash + Coterra YE25 $114M = ~$1,930M</t>
  </si>
  <si>
    <t xml:space="preserve">Equity investments (Matterhorn, Catalyst, etc., $mm)</t>
  </si>
  <si>
    <t xml:space="preserve">Source: DVN Q1 2026 8-K — Investments $715M (Matterhorn, Catalyst, Cotton Draw)</t>
  </si>
  <si>
    <t xml:space="preserve">  WACC computado</t>
  </si>
  <si>
    <t xml:space="preserve">Cost of equity Ke = Rf + Beta × ERP</t>
  </si>
  <si>
    <t xml:space="preserve">After-tax cost of debt Kd = Kd*(1-T)</t>
  </si>
  <si>
    <t xml:space="preserve">Market cap = Spot × Shares ($mm)</t>
  </si>
  <si>
    <t xml:space="preserve">Total enterprise capital = MC + Debt</t>
  </si>
  <si>
    <t xml:space="preserve">Weight equity E/V</t>
  </si>
  <si>
    <t xml:space="preserve">Weight debt D/V</t>
  </si>
  <si>
    <t xml:space="preserve">WACC = E/V × Ke + D/V × Kd*(1-T)</t>
  </si>
  <si>
    <t xml:space="preserve">  2. PROYECCION DE REVENUE — DESCOMPOSICION P × Q (Pro-forma Devon+Coterra)</t>
  </si>
  <si>
    <t xml:space="preserve">Segmento / Driver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</si>
  <si>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</si>
  <si>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</si>
  <si>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</si>
  <si>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</si>
  <si>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</si>
  <si>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Terminal</t>
  </si>
  <si>
    <t xml:space="preserve">S1 Oil production growth %</t>
  </si>
  <si>
    <t xml:space="preserve">Pro-forma jump FY26E reflects 11mo Coterra; then modest organic growth. Note: includes synergy production optimization</t>
  </si>
  <si>
    <t xml:space="preserve">S2 NGL production growth %</t>
  </si>
  <si>
    <t xml:space="preserve">NGL grows w/ Marcellus (Coterra) + Permian liquids-rich gas</t>
  </si>
  <si>
    <t xml:space="preserve">S3 Gas production growth %</t>
  </si>
  <si>
    <t xml:space="preserve">Gas dominated by Coterra Marcellus (~1,090 Bcf/yr). +215% reflects merger</t>
  </si>
  <si>
    <t xml:space="preserve">S1 Oil contribution margin %</t>
  </si>
  <si>
    <t xml:space="preserve">Oil delivers most of operating income. Margin sensitive to WTI; 40-43% normalized at $65 WTI base case</t>
  </si>
  <si>
    <t xml:space="preserve">S2 NGL contribution margin %</t>
  </si>
  <si>
    <t xml:space="preserve">NGL margin compressed by GP&amp;T costs; Mont Belvieu pricing volatile</t>
  </si>
  <si>
    <t xml:space="preserve">S3 Gas contribution margin %</t>
  </si>
  <si>
    <t xml:space="preserve">Gas margin improves: Coterra Marcellus higher quality (premium netbacks); Permian basis improves w/ Matterhorn</t>
  </si>
  <si>
    <t xml:space="preserve">  3. CAPEX, D&amp;A Y CAPITAL ALLOCATION</t>
  </si>
  <si>
    <t xml:space="preserve">Driver</t>
  </si>
  <si>
    <t xml:space="preserve">FY1E</t>
  </si>
  <si>
    <t xml:space="preserve">FY2E</t>
  </si>
  <si>
    <t xml:space="preserve">FY3E</t>
  </si>
  <si>
    <t xml:space="preserve">FY4E</t>
  </si>
  <si>
    <t xml:space="preserve">FY5E</t>
  </si>
  <si>
    <t xml:space="preserve">TOTAL Capex / Revenue %</t>
  </si>
  <si>
    <t xml:space="preserve">Total capex (maintenance + growth). DVN 22-24% of revenue historical 2023-2025. CTRA ~28% — combined ~22-23%</t>
  </si>
  <si>
    <t xml:space="preserve">D&amp;A / Revenue %</t>
  </si>
  <si>
    <t xml:space="preserve">DD&amp;A reflects depletion of oil &amp; gas property; DVN FY25 ~21% rev. Combined includes Marcellus (lower DD&amp;A intensity)</t>
  </si>
  <si>
    <t xml:space="preserve">SBC / Revenue %</t>
  </si>
  <si>
    <t xml:space="preserve">E&amp;P SBC very small (~$100M/yr DVN, $30M CTRA)</t>
  </si>
  <si>
    <t xml:space="preserve">ΔWC / Revenue %</t>
  </si>
  <si>
    <t xml:space="preserve">E&amp;P WC small; cyclical with price moves. Conservative ~0%</t>
  </si>
  <si>
    <t xml:space="preserve">Buybacks + Dividends / FCF %</t>
  </si>
  <si>
    <t xml:space="preserve">DVN announced $8B buyback + 30% div increase post-merger. Combined returns target 70%+ of FCF</t>
  </si>
  <si>
    <t xml:space="preserve">  4. VALORES TERMINALES (TV) Y CROSS-CHECKS</t>
  </si>
  <si>
    <t xml:space="preserve">Justificación</t>
  </si>
  <si>
    <t xml:space="preserve">Terminal growth rate g (perpetuidad, %)</t>
  </si>
  <si>
    <t xml:space="preserve">E&amp;P is cyclical w/ depletable inventory. Conservative g (PIB nominal -1%). 2% reflects inflation pass-through</t>
  </si>
  <si>
    <t xml:space="preserve">H-Model: años fase alta (n)</t>
  </si>
  <si>
    <t xml:space="preserve">Periodo de crecimiento explícito antes de fade lineal</t>
  </si>
  <si>
    <t xml:space="preserve">H-Model: g inicial (%)</t>
  </si>
  <si>
    <t xml:space="preserve">Combined entity growth ~5% blended (production + price recovery); fade to 2%</t>
  </si>
  <si>
    <t xml:space="preserve">Exit EV/EBITDA múltiple (x)</t>
  </si>
  <si>
    <t xml:space="preserve">E&amp;P peers EOG/FANG/PR 5-7x; DVN historical 4-6x; CTRA ~5x. Conservative mid-cycle</t>
  </si>
  <si>
    <t xml:space="preserve">Exit EV/EBIT múltiple (x)</t>
  </si>
  <si>
    <t xml:space="preserve">Implied at ~3x EV/EBITDA-to-EV/EBIT ratio for E&amp;P (DD&amp;A heavy)</t>
  </si>
  <si>
    <t xml:space="preserve">Exit EV/Revenue múltiple (x)</t>
  </si>
  <si>
    <t xml:space="preserve">E&amp;P low multiple: high capex intensity. Peers 1.2-1.8x</t>
  </si>
  <si>
    <t xml:space="preserve">Exit P/E (x)</t>
  </si>
  <si>
    <t xml:space="preserve">E&amp;P P/E typically 10-15x mid-cycle. DVN TTM ~13.8x</t>
  </si>
  <si>
    <t xml:space="preserve">FCF conversion normalizada</t>
  </si>
  <si>
    <t xml:space="preserve">FCF/NI = 80% post-merger steady-state (Δ inventory neutral, low taxes deferred)</t>
  </si>
  <si>
    <t xml:space="preserve">  5. INVERSIONES ESTRATEGICAS  (opcional — no afectan EV directamente)</t>
  </si>
  <si>
    <t xml:space="preserve">Sinergias anuales pre-tax target ($mm)</t>
  </si>
  <si>
    <t xml:space="preserve">Source: Devon/Coterra merger announcement 2/2/2026 — $1B pre-tax synergies annual by YE2027</t>
  </si>
  <si>
    <t xml:space="preserve">Sinergias ramp factor año 1 (%)</t>
  </si>
  <si>
    <t xml:space="preserve">FY26E captures ~40% of target ($400M); full run-rate by FY27</t>
  </si>
  <si>
    <t xml:space="preserve">$8B authorized buyback (post-merger announcement)</t>
  </si>
  <si>
    <t xml:space="preserve">Source: DVN press release 5/7/2026; $8B Board authorization, ~14% of market cap</t>
  </si>
  <si>
    <t xml:space="preserve">  2B. REALIZED PRICES ($/unit) — Pro-forma combined entity</t>
  </si>
  <si>
    <t xml:space="preserve">Oil realized price ($/Bbl)</t>
  </si>
  <si>
    <t xml:space="preserve">Base case: WTI mean-revert to $65 mid-cycle; DVN basis differential ~-$2.50; Coterra Permian similar; conservative vs Q1 26 spot</t>
  </si>
  <si>
    <t xml:space="preserve">Gas realized price ($/Mcf)</t>
  </si>
  <si>
    <t xml:space="preserve">Combined entity benefits from Marcellus (basis ~$0.30 below NYMEX) mix; Permian basis improves with Matterhorn capacity</t>
  </si>
  <si>
    <t xml:space="preserve">NGL realized price ($/Bbl)</t>
  </si>
  <si>
    <t xml:space="preserve">Mont Belvieu blended ~$24-25; DVN realization 70-75% of benchmark</t>
  </si>
  <si>
    <t xml:space="preserve">Memo: WTI benchmark ($/Bbl)</t>
  </si>
  <si>
    <t xml:space="preserve">EIA STEO forecast May-2026; long-run mid-cycle $60-70</t>
  </si>
  <si>
    <t xml:space="preserve">Memo: Henry Hub ($/MMBtu)</t>
  </si>
  <si>
    <t xml:space="preserve">EIA STEO; LNG export growth keeps HH structurally higher than 2020-24</t>
  </si>
  <si>
    <t xml:space="preserve">  2C. CAPEX SPLIT — Maintenance vs Growth</t>
  </si>
  <si>
    <t xml:space="preserve">Maintenance capex / Total capex %</t>
  </si>
  <si>
    <t xml:space="preserve">E&amp;P maintenance capex (= keep production flat). Higher % as inventory matures</t>
  </si>
  <si>
    <t xml:space="preserve">Growth capex / Total capex %</t>
  </si>
  <si>
    <t xml:space="preserve">Growth capex enables production increases (drilling new wells in undeveloped acreage)</t>
  </si>
  <si>
    <t xml:space="preserve">Maintenance capex $/Boe (~F&amp;D cost)</t>
  </si>
  <si>
    <t xml:space="preserve">DVN F&amp;D cost FY25 ~$8.5/Boe per 10-K. Combined slightly higher due to mix. Conservative ramp</t>
  </si>
  <si>
    <t xml:space="preserve">DVN — HISTORICO FINANCIERO  (FY2021 a FY2025 + Q1 2026)</t>
  </si>
  <si>
    <t xml:space="preserve">Cálculo (margen/growth)</t>
  </si>
  <si>
    <t xml:space="preserve">Inline ratio</t>
  </si>
  <si>
    <t xml:space="preserve">$ millions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</si>
  <si>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</si>
  <si>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</si>
  <si>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</si>
  <si>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</si>
  <si>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</si>
  <si>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Q1 2026</t>
  </si>
  <si>
    <t xml:space="preserve">  A. CUENTA DE RESULTADOS  ($mm except per-share)</t>
  </si>
  <si>
    <t xml:space="preserve">Total Revenue</t>
  </si>
  <si>
    <t xml:space="preserve">Source: DVN 10-K FY21-FY25 Consolidated Statements of Operations; DVN 8-K Q1 2026 (5/5/2026)</t>
  </si>
  <si>
    <t xml:space="preserve">  Revenue YoY %</t>
  </si>
  <si>
    <t xml:space="preserve">ytd</t>
  </si>
  <si>
    <t xml:space="preserve">CAGR FY21-FY25 ≈ 13.8%</t>
  </si>
  <si>
    <t xml:space="preserve">Production expenses</t>
  </si>
  <si>
    <t xml:space="preserve">Source: DVN 10-K — LOE + G,P&amp;T + Production taxes + Property taxes</t>
  </si>
  <si>
    <t xml:space="preserve">  Production expense / Revenue %</t>
  </si>
  <si>
    <t xml:space="preserve">Sube con declive de precios realizados y mix; FY25 20.8% por oil price weak</t>
  </si>
  <si>
    <t xml:space="preserve">Marketing &amp; midstream expenses</t>
  </si>
  <si>
    <t xml:space="preserve">Source: DVN 10-K — third-party gas/NGL marketing (effectively pass-through)</t>
  </si>
  <si>
    <t xml:space="preserve">  M&amp;M expenses / Revenue %</t>
  </si>
  <si>
    <t xml:space="preserve">69-70% [Plataforma cloud] GM en Último trimestre</t>
  </si>
  <si>
    <t xml:space="preserve">Depreciation, depletion &amp; amortization (DD&amp;A)</t>
  </si>
  <si>
    <t xml:space="preserve">Source: DVN 10-K Cash Flow Statement DD&amp;A line</t>
  </si>
  <si>
    <t xml:space="preserve">  DD&amp;A / Revenue %</t>
  </si>
  <si>
    <t xml:space="preserve">Estable ~12% — leverage del modelo</t>
  </si>
  <si>
    <t xml:space="preserve">General &amp; administrative (G&amp;A)</t>
  </si>
  <si>
    <t xml:space="preserve">Source: DVN 10-K — G&amp;A line</t>
  </si>
  <si>
    <t xml:space="preserve">  G&amp;A / Revenue %</t>
  </si>
  <si>
    <t xml:space="preserve">Bajando con scale (de 12% → 9%)</t>
  </si>
  <si>
    <t xml:space="preserve">Exploration, impairments, restructuring &amp; other</t>
  </si>
  <si>
    <t xml:space="preserve">Source: DVN 10-K — Exploration + Impairments + Restructuring + Other</t>
  </si>
  <si>
    <t xml:space="preserve">  Exploration &amp; other / Revenue %</t>
  </si>
  <si>
    <t xml:space="preserve">~3% estable</t>
  </si>
  <si>
    <t xml:space="preserve">Operating income</t>
  </si>
  <si>
    <t xml:space="preserve">Operating income (calculated bottoms-up)</t>
  </si>
  <si>
    <t xml:space="preserve">  Operating margin %</t>
  </si>
  <si>
    <t xml:space="preserve">📉 60% (FY22 cíclo alto) → 22% (FY25 cíclo bajo) — apalancamiento operativo a commodities</t>
  </si>
  <si>
    <t xml:space="preserve">  Op income YoY %</t>
  </si>
  <si>
    <t xml:space="preserve">Financing costs, net (interest)</t>
  </si>
  <si>
    <t xml:space="preserve">Source: DVN 10-K — Financing costs, net (interest expense less interest income)</t>
  </si>
  <si>
    <t xml:space="preserve">Earnings before income taxes</t>
  </si>
  <si>
    <t xml:space="preserve">Income tax expense</t>
  </si>
  <si>
    <t xml:space="preserve">Source: DVN 10-K — Income tax expense (Note: includes deferred)</t>
  </si>
  <si>
    <t xml:space="preserve">  Effective tax rate</t>
  </si>
  <si>
    <t xml:space="preserve">18% FY24-FY25, ligero uptick Último trimestre</t>
  </si>
  <si>
    <t xml:space="preserve">Net earnings attributable to Devon</t>
  </si>
  <si>
    <t xml:space="preserve">Source: DVN 10-K — Net earnings attributable to Devon; FY25=$2,681M per 10-K (small diff from sum due to NCI)</t>
  </si>
  <si>
    <t xml:space="preserve">  Net margin %</t>
  </si>
  <si>
    <t xml:space="preserve">~36% — quality of earnings alto</t>
  </si>
  <si>
    <t xml:space="preserve">  Net income YoY %</t>
  </si>
  <si>
    <t xml:space="preserve">Diluted EPS ($)</t>
  </si>
  <si>
    <t xml:space="preserve">Source: DVN 10-K — Diluted EPS attributable to Devon</t>
  </si>
  <si>
    <t xml:space="preserve">  Diluted EPS YoY %</t>
  </si>
  <si>
    <t xml:space="preserve">Buybacks ayudan ~50bp/año al EPS growth</t>
  </si>
  <si>
    <t xml:space="preserve">Diluted shares outstanding (M)</t>
  </si>
  <si>
    <t xml:space="preserve">Source: DVN 10-K cover and 10-Q diluted weighted-avg shares</t>
  </si>
  <si>
    <t xml:space="preserve">  B. CASH FLOW  ($mm)</t>
  </si>
  <si>
    <t xml:space="preserve">Net cash from operations (OCF)</t>
  </si>
  <si>
    <t xml:space="preserve">Source: DVN 10-K Cash Flow Statement; Q1 26 from 8-K supplemental table</t>
  </si>
  <si>
    <t xml:space="preserve">  OCF / Revenue %</t>
  </si>
  <si>
    <t xml:space="preserve">~48% — cash conversion alta</t>
  </si>
  <si>
    <t xml:space="preserve">  OCF YoY %</t>
  </si>
  <si>
    <t xml:space="preserve">Capex (excl. acquisitions)</t>
  </si>
  <si>
    <t xml:space="preserve">Source: DVN 10-K CF Statement — Capital expenditures (excl. acquisitions)</t>
  </si>
  <si>
    <t xml:space="preserve">  Capex / Revenue %</t>
  </si>
  <si>
    <t xml:space="preserve">~13-25% Capex/Rev — cíclico, sube cuando revenue cae por precios bajos</t>
  </si>
  <si>
    <t xml:space="preserve">  Capex YoY %</t>
  </si>
  <si>
    <t xml:space="preserve">+213% acumulado FY21-FY25</t>
  </si>
  <si>
    <t xml:space="preserve">FCF simple = OCF − Capex</t>
  </si>
  <si>
    <t xml:space="preserve">  FCF / Revenue %</t>
  </si>
  <si>
    <t xml:space="preserve">Bajando 33% → 25% por capex inversión</t>
  </si>
  <si>
    <t xml:space="preserve">  FCF / Net Income %</t>
  </si>
  <si>
    <t xml:space="preserve">&lt;70% confirma que la depreciación NO captura todo el outflow</t>
  </si>
  <si>
    <t xml:space="preserve">  FCF YoY %</t>
  </si>
  <si>
    <t xml:space="preserve">D&amp;A (CF statement, =IS DD&amp;A)</t>
  </si>
  <si>
    <t xml:space="preserve">  D&amp;A / Revenue %</t>
  </si>
  <si>
    <t xml:space="preserve">Subiendo con el capex (lag de 2-3 años)</t>
  </si>
  <si>
    <t xml:space="preserve">Stock-based compensation (SBC)</t>
  </si>
  <si>
    <t xml:space="preserve">Source: DVN 10-K CF Statement — Share-based compensation</t>
  </si>
  <si>
    <t xml:space="preserve">  SBC / Revenue %</t>
  </si>
  <si>
    <t xml:space="preserve">Estable ~4%</t>
  </si>
  <si>
    <t xml:space="preserve">Dividends paid</t>
  </si>
  <si>
    <t xml:space="preserve">Source: DVN 10-K — Dividends paid (fixed-plus-variable until 2024, then fixed-only)</t>
  </si>
  <si>
    <t xml:space="preserve">Common stock repurchased</t>
  </si>
  <si>
    <t xml:space="preserve">Source: DVN 10-K — Repurchases of common stock</t>
  </si>
  <si>
    <t xml:space="preserve">Capital returns total ($mm)</t>
  </si>
  <si>
    <t xml:space="preserve">  Capital returns / FCF %</t>
  </si>
  <si>
    <t xml:space="preserve">~70-80%, sostenible</t>
  </si>
  <si>
    <t xml:space="preserve">  C. BALANCE SHEET  (fin de periodo)</t>
  </si>
  <si>
    <t xml:space="preserve">Cash, equivalents &amp; restricted cash</t>
  </si>
  <si>
    <t xml:space="preserve">Source: DVN 10-K Balance Sheet — Cash + ST investments + restricted cash</t>
  </si>
  <si>
    <t xml:space="preserve">Investments (Matterhorn, Catalyst, etc.)</t>
  </si>
  <si>
    <t xml:space="preserve">Source: DVN 10-K Balance Sheet — Investments (Matterhorn, Catalyst, Cotton Draw)</t>
  </si>
  <si>
    <t xml:space="preserve">Accounts receivable, net</t>
  </si>
  <si>
    <t xml:space="preserve">Total property and equipment, net</t>
  </si>
  <si>
    <t xml:space="preserve">Source: DVN 10-K — Oil &amp; gas property + Other PP&amp;E, net (successful efforts accounting)</t>
  </si>
  <si>
    <t xml:space="preserve">Goodwill + intangibles + ROU</t>
  </si>
  <si>
    <t xml:space="preserve">Total assets</t>
  </si>
  <si>
    <t xml:space="preserve">Source: DVN 10-K Balance Sheet — Total assets</t>
  </si>
  <si>
    <t xml:space="preserve">Total debt (short-term + long-term)</t>
  </si>
  <si>
    <t xml:space="preserve">Source: DVN 10-K BS — Short-term + Long-term debt</t>
  </si>
  <si>
    <t xml:space="preserve">Stockholders' equity (attributable to DVN)</t>
  </si>
  <si>
    <t xml:space="preserve">Source: DVN 10-K BS — Total stockholders equity attributable to Devon</t>
  </si>
  <si>
    <t xml:space="preserve">Common stock + Additional paid-in capital</t>
  </si>
  <si>
    <t xml:space="preserve">Retained earnings</t>
  </si>
  <si>
    <t xml:space="preserve">Asset retirement obligations + Other LT liab.</t>
  </si>
  <si>
    <t xml:space="preserve">Proved reserves (MMBoe)</t>
  </si>
  <si>
    <t xml:space="preserve">n/d</t>
  </si>
  <si>
    <t xml:space="preserve">Source: DVN 10-K Item 1 Proved Reserves disclosure</t>
  </si>
  <si>
    <t xml:space="preserve">  Capital structure / leverage</t>
  </si>
  <si>
    <t xml:space="preserve">Net cash position ($mm)</t>
  </si>
  <si>
    <t xml:space="preserve">  Debt / Equity (x)</t>
  </si>
  <si>
    <t xml:space="preserve">Desapalancando: 0.55 → 0.10</t>
  </si>
  <si>
    <t xml:space="preserve">  PP&amp;E / Revenue %</t>
  </si>
  <si>
    <t xml:space="preserve">PP&amp;E pesado: E&amp;P es capital-intensive estructuralmente (full-cost / successful-efforts)</t>
  </si>
  <si>
    <t xml:space="preserve">  Asset turnover (Rev / Avg Assets, proxy con end-of-period)</t>
  </si>
  <si>
    <t xml:space="preserve">Asset turnover ~0.5-0.7× — típico E&amp;P; baja en cíclos de precios bajos</t>
  </si>
  <si>
    <t xml:space="preserve">  D. REVENUE BY COMMODITY  (P × Q decomposition)</t>
  </si>
  <si>
    <t xml:space="preserve">(Oil + Gas + NGL = Upstream revenue. Marketing &amp; midstream is largely pass-through.)</t>
  </si>
  <si>
    <t xml:space="preserve">Oil sales revenue ($mm)</t>
  </si>
  <si>
    <t xml:space="preserve">Source: DVN 10-K Note Revenue Recognition — Oil sales (= Oil production × Oil realized price)</t>
  </si>
  <si>
    <t xml:space="preserve">Natural gas sales revenue ($mm)</t>
  </si>
  <si>
    <t xml:space="preserve">Source: DVN 10-K — Gas sales (= Gas production × Gas realized price)</t>
  </si>
  <si>
    <t xml:space="preserve">NGL sales revenue ($mm)</t>
  </si>
  <si>
    <t xml:space="preserve">Source: DVN 10-K — NGL sales (= NGL production × NGL realized price)</t>
  </si>
  <si>
    <t xml:space="preserve">Memo: Marketing &amp; midstream revenue</t>
  </si>
  <si>
    <t xml:space="preserve">Pass-through: revenues ≈ expenses. Small margin contribution. Excluded from P×Q.</t>
  </si>
  <si>
    <t xml:space="preserve">Memo: Oil, gas, NGL derivative gain/(loss)</t>
  </si>
  <si>
    <t xml:space="preserve">Excluded from operating performance — MTM volatility</t>
  </si>
  <si>
    <t xml:space="preserve">Field-level cash margin ($mm = production × per-Boe margin)</t>
  </si>
  <si>
    <t xml:space="preserve">Upstream cash margin = O/G/NGL revenue − Production expenses</t>
  </si>
  <si>
    <t xml:space="preserve">  Margen operativo por segmento</t>
  </si>
  <si>
    <t xml:space="preserve">  E. KPIs — PRODUCTION VOLUMES &amp; REALIZED PRICES (10-K Item 1/Item 7)</t>
  </si>
  <si>
    <t xml:space="preserve">Oil production (MMBbls)</t>
  </si>
  <si>
    <t xml:space="preserve">Source: DVN 10-K — Oil production volumes; 2021/22 derived from MBbls/d × 365</t>
  </si>
  <si>
    <t xml:space="preserve">Gas production (Bcf)</t>
  </si>
  <si>
    <t xml:space="preserve">Source: DVN 10-K — Gas production volumes</t>
  </si>
  <si>
    <t xml:space="preserve">NGL production (MMBbls)</t>
  </si>
  <si>
    <t xml:space="preserve">Source: DVN 10-K — NGL production volumes</t>
  </si>
  <si>
    <t xml:space="preserve">Total production (MMBoe) = Oil + NGL + Gas/6</t>
  </si>
  <si>
    <t xml:space="preserve">BoE conversion: 6 Mcf gas per Bbl oil; NGL 1:1 with oil</t>
  </si>
  <si>
    <t xml:space="preserve">  S1 revenue YoY %</t>
  </si>
  <si>
    <t xml:space="preserve">Source: DVN 10-K — Oil average sales price (excl. hedges)</t>
  </si>
  <si>
    <t xml:space="preserve">Source: DVN 10-K — Gas average sales price (excl. hedges); large Permian basis differential vs Henry Hub</t>
  </si>
  <si>
    <t xml:space="preserve">Source: DVN 10-K — NGL average sales price (excl. hedges)</t>
  </si>
  <si>
    <t xml:space="preserve">Memo: WTI benchmark ($/Bbl, average)</t>
  </si>
  <si>
    <t xml:space="preserve">Source: EIA STEO; DVN 10-K benchmark prices</t>
  </si>
  <si>
    <t xml:space="preserve">Memo: Henry Hub benchmark ($/MMBtu, average)</t>
  </si>
  <si>
    <t xml:space="preserve">Source: EIA Henry Hub spot annual average</t>
  </si>
  <si>
    <t xml:space="preserve">Memo: Total production growth YoY (Boe)</t>
  </si>
  <si>
    <t xml:space="preserve">Production cost per Boe ($/Boe)</t>
  </si>
  <si>
    <t xml:space="preserve">Production expenses / total MMBoe production</t>
  </si>
  <si>
    <t xml:space="preserve">Capex per Boe of production ($/Boe)</t>
  </si>
  <si>
    <t xml:space="preserve">Capital intensity — total capex / total annual production</t>
  </si>
  <si>
    <t xml:space="preserve">Memo: Mont Belvieu NGL benchmark ($/Bbl)</t>
  </si>
  <si>
    <t xml:space="preserve">Memo: pro-forma combined production (post-merger)</t>
  </si>
  <si>
    <t xml:space="preserve">~1,587 MBoe/d (Oil 530, Gas 4,400 MMcf/d, NGL 315) — FY26E run-rate</t>
  </si>
  <si>
    <t xml:space="preserve">Memo: Devon/Coterra merger close</t>
  </si>
  <si>
    <t xml:space="preserve">7-may-2026 (0.70 DVN per CTRA share)</t>
  </si>
  <si>
    <t xml:space="preserve">Memo: $8B buyback authorization (post-merger)</t>
  </si>
  <si>
    <t xml:space="preserve">$8,000M autorizado</t>
  </si>
  <si>
    <t xml:space="preserve">Guía capex FY2026 (combined, post-merger)</t>
  </si>
  <si>
    <t xml:space="preserve">~$4.0-4.4Bn pro-forma (mantenimiento-pesado, disciplina de capital)</t>
  </si>
  <si>
    <t xml:space="preserve">Guía producción FY2026 (combined)</t>
  </si>
  <si>
    <t xml:space="preserve">~1,580-1,600 MBoe/d run-rate combinado</t>
  </si>
  <si>
    <t xml:space="preserve">Sinergias target run-rate (YE2027)</t>
  </si>
  <si>
    <t xml:space="preserve">$1,000M anuales pre-tax (50% G&amp;A, 50% capex/ops)</t>
  </si>
  <si>
    <t xml:space="preserve">Capital returns framework</t>
  </si>
  <si>
    <t xml:space="preserve">Dividendo fijo $0.24/sh trim. + $8Bn buyback autorizado</t>
  </si>
  <si>
    <t xml:space="preserve">Net Debt / EBITDA target (combined)</t>
  </si>
  <si>
    <t xml:space="preserve">~1.4× post-merger, target &lt;1.0× through-cycle</t>
  </si>
  <si>
    <t xml:space="preserve">DVN — MODELO OPERATIVO + FCFF + VALORACION  (Pro-forma post-merger, FY26-FY30 + Terminal)</t>
  </si>
  <si>
    <t xml:space="preserve">Input (azul)</t>
  </si>
  <si>
    <t xml:space="preserve">Cálculo (negro)</t>
  </si>
  <si>
    <t xml:space="preserve">Total (negrita)</t>
  </si>
  <si>
    <t xml:space="preserve">Tabla A — Precio (Gordon DCF) vs WACC × g_terminal</t>
  </si>
  <si>
    <t xml:space="preserve">  A. PROYECCION DE INGRESOS POR SEGMENTO</t>
  </si>
  <si>
    <t xml:space="preserve">S1 Oil revenue ($mm)</t>
  </si>
  <si>
    <t xml:space="preserve">WACC ↓ \ g →</t>
  </si>
  <si>
    <t xml:space="preserve">  Oil production (MMBbls)</t>
  </si>
  <si>
    <t xml:space="preserve">  Oil realized price ($/Bbl)</t>
  </si>
  <si>
    <t xml:space="preserve">S2 NGL revenue ($mm)</t>
  </si>
  <si>
    <t xml:space="preserve">  NGL production (MMBbls)</t>
  </si>
  <si>
    <t xml:space="preserve">  NGL realized price ($/Bbl)</t>
  </si>
  <si>
    <t xml:space="preserve">S3 Gas revenue ($mm)</t>
  </si>
  <si>
    <t xml:space="preserve">  Gas production (Bcf)</t>
  </si>
  <si>
    <t xml:space="preserve">  Gas realized price ($/Mcf)</t>
  </si>
  <si>
    <t xml:space="preserve">Tabla B — Precio (Gordon DCF) vs WACC × Op margin terminal</t>
  </si>
  <si>
    <t xml:space="preserve">Total Upstream Revenue ($mm)</t>
  </si>
  <si>
    <t xml:space="preserve">  Revenue growth YoY %</t>
  </si>
  <si>
    <t xml:space="preserve">WACC ↓ \ margin →</t>
  </si>
  <si>
    <t xml:space="preserve">  Total production (MMBoe) = Oil + NGL + Gas/6</t>
  </si>
  <si>
    <t xml:space="preserve">  B. OPERATING INCOME POR SEGMENTO</t>
  </si>
  <si>
    <t xml:space="preserve">S1 Oil operating income</t>
  </si>
  <si>
    <t xml:space="preserve">  S1 Oil contribution margin %</t>
  </si>
  <si>
    <t xml:space="preserve">S2 NGL operating income</t>
  </si>
  <si>
    <t xml:space="preserve">  S2 NGL contribution margin %</t>
  </si>
  <si>
    <t xml:space="preserve">S3 Gas operating income</t>
  </si>
  <si>
    <t xml:space="preserve">Tabla C — Precio (Gordon DCF) vs Capex/Rev terminal × g_terminal</t>
  </si>
  <si>
    <t xml:space="preserve">  S3 Gas contribution margin %</t>
  </si>
  <si>
    <t xml:space="preserve">Total Operating Income (EBIT incl. synergies)</t>
  </si>
  <si>
    <t xml:space="preserve">Capex/Rev ↓ \ g →</t>
  </si>
  <si>
    <t xml:space="preserve">(+) Merger synergies (pre-tax, ramped) ($mm)</t>
  </si>
  <si>
    <t xml:space="preserve">  C. PUENTE DE EBIT A FREE CASH FLOW (FCFF)</t>
  </si>
  <si>
    <t xml:space="preserve">NOPAT = EBIT × (1 − tax rate)</t>
  </si>
  <si>
    <t xml:space="preserve">(+) D&amp;A</t>
  </si>
  <si>
    <t xml:space="preserve">(−) Capex</t>
  </si>
  <si>
    <t xml:space="preserve">Tabla D — Precio (Exit EV/EBITDA) vs WACC × Exit EV/EBITDA</t>
  </si>
  <si>
    <t xml:space="preserve">(−) ΔWorking Capital</t>
  </si>
  <si>
    <t xml:space="preserve">WACC ↓ \ EV/EBITDA →</t>
  </si>
  <si>
    <t xml:space="preserve">Free Cash Flow to Firm (FCFF)</t>
  </si>
  <si>
    <t xml:space="preserve">  FCFF / Revenue %</t>
  </si>
  <si>
    <t xml:space="preserve">  FCFF / NOPAT % (conversion)</t>
  </si>
  <si>
    <t xml:space="preserve">  D. DCF DISCOUNTING &amp; VALUE BRIDGE</t>
  </si>
  <si>
    <t xml:space="preserve">Período (años desde valoración)</t>
  </si>
  <si>
    <t xml:space="preserve">TV at end FY30</t>
  </si>
  <si>
    <t xml:space="preserve">Discount factor (mid-year)</t>
  </si>
  <si>
    <t xml:space="preserve">—</t>
  </si>
  <si>
    <t xml:space="preserve">PV of FCFF (explicit period)</t>
  </si>
  <si>
    <t xml:space="preserve">(see TV below)</t>
  </si>
  <si>
    <t xml:space="preserve">Σ PV of explicit FCFF</t>
  </si>
  <si>
    <t xml:space="preserve">  Cálculos de Valor Terminal (4 métodos)</t>
  </si>
  <si>
    <t xml:space="preserve">Method 1: Gordon Growth perpetuity</t>
  </si>
  <si>
    <t xml:space="preserve">TV nominal</t>
  </si>
  <si>
    <t xml:space="preserve">(PV)</t>
  </si>
  <si>
    <t xml:space="preserve">Method 2: Exit EV/EBITDA × FY30 EBITDA</t>
  </si>
  <si>
    <t xml:space="preserve">EV exit</t>
  </si>
  <si>
    <t xml:space="preserve">Method 3: Exit EV/EBIT × FY30 EBIT</t>
  </si>
  <si>
    <t xml:space="preserve">Method 4: H-Model (fade gST → gLT)</t>
  </si>
  <si>
    <t xml:space="preserve">EV total</t>
  </si>
  <si>
    <t xml:space="preserve">Method 5: Exit EV/Revenue × FY30 Revenue</t>
  </si>
  <si>
    <t xml:space="preserve">Cross-check</t>
  </si>
  <si>
    <t xml:space="preserve">  F. PUENTE EV → EQUITY → PRICE TARGET  (8 metodologías)</t>
  </si>
  <si>
    <t xml:space="preserve">Método</t>
  </si>
  <si>
    <t xml:space="preserve">EV ($mm)</t>
  </si>
  <si>
    <t xml:space="preserve">(+) Cash</t>
  </si>
  <si>
    <t xml:space="preserve">(−) Debt</t>
  </si>
  <si>
    <t xml:space="preserve">(+) Eq.inv</t>
  </si>
  <si>
    <t xml:space="preserve">Equity ($mm)</t>
  </si>
  <si>
    <t xml:space="preserve">Shares (M)</t>
  </si>
  <si>
    <t xml:space="preserve">Price ($)</t>
  </si>
  <si>
    <t xml:space="preserve">  G. ESTADISTICAS DE LAS 8 VALORACIONES</t>
  </si>
  <si>
    <t xml:space="preserve">Promedio</t>
  </si>
  <si>
    <t xml:space="preserve">Mediana</t>
  </si>
  <si>
    <t xml:space="preserve">Mínimo</t>
  </si>
  <si>
    <t xml:space="preserve">Máximo</t>
  </si>
  <si>
    <t xml:space="preserve">Spot price</t>
  </si>
  <si>
    <t xml:space="preserve">Upside (Mediana vs Spot)</t>
  </si>
  <si>
    <t xml:space="preserve">  H. CAPEX SPLIT MEMO — Maintenance vs Growth</t>
  </si>
  <si>
    <t xml:space="preserve">Total capex ($mm)</t>
  </si>
  <si>
    <t xml:space="preserve">  Maintenance capex ($mm)</t>
  </si>
  <si>
    <t xml:space="preserve">  Growth capex ($mm)</t>
  </si>
  <si>
    <t xml:space="preserve">  Implied maintenance capex / Boe ($/Boe)</t>
  </si>
  <si>
    <t xml:space="preserve">Sense check vs Hipotesis F&amp;D assumption ($10/Boe). &gt;$15 = expensive; &lt;$8 = optimistic</t>
  </si>
  <si>
    <t xml:space="preserve">  Implied YoY production growth from growth capex</t>
  </si>
  <si>
    <t xml:space="preserve">Match this vs growth capex / total capex — high growth capex should imply high prod growth</t>
  </si>
  <si>
    <t xml:space="preserve">DEVON ENERGY — DuPont Decomposition + Análisis E&amp;P (F&amp;D, Recycle, RRR)</t>
  </si>
  <si>
    <t xml:space="preserve">Periodo FY21-FY25 anual + Q1 2026 (annualized donde aplique). Datos en $mm except ratios y operacionales.</t>
  </si>
  <si>
    <t xml:space="preserve">  1. INPUTS HISTORICOS  (Source: DVN 10-K FY21-FY25 + Q1 2026 8-K)</t>
  </si>
  <si>
    <t xml:space="preserve">Income Statement (10-K + 8-K)</t>
  </si>
  <si>
    <t xml:space="preserve">Operating Income ($mm)</t>
  </si>
  <si>
    <t xml:space="preserve">Net Income ($mm)</t>
  </si>
  <si>
    <t xml:space="preserve">Total Assets ($mm)</t>
  </si>
  <si>
    <t xml:space="preserve">Balance Sheet (10-K)</t>
  </si>
  <si>
    <t xml:space="preserve">Stockholders' Equity ($mm)</t>
  </si>
  <si>
    <t xml:space="preserve">Total Debt (incl. current portion) ($mm)</t>
  </si>
  <si>
    <t xml:space="preserve">Cash + STI ($mm)</t>
  </si>
  <si>
    <t xml:space="preserve">Operating Cash Flow ($mm)</t>
  </si>
  <si>
    <t xml:space="preserve">Cash Flow Statement</t>
  </si>
  <si>
    <t xml:space="preserve">Capex ($mm)</t>
  </si>
  <si>
    <t xml:space="preserve">Free Cash Flow ($mm)</t>
  </si>
  <si>
    <t xml:space="preserve">D&amp;A ($mm)</t>
  </si>
  <si>
    <t xml:space="preserve">Effective Tax Rate</t>
  </si>
  <si>
    <t xml:space="preserve">10-K Nota Income Taxes</t>
  </si>
  <si>
    <t xml:space="preserve">  2. DUPONT DECOMPOSITION (ROE = Tax Burden × Interest Burden × OpMargin × Asset Turnover × Equity Multiplier)</t>
  </si>
  <si>
    <t xml:space="preserve">Tax Burden = 1 − effective tax rate</t>
  </si>
  <si>
    <t xml:space="preserve">Retención post-tax — E&amp;P tax rate variable con depletion/IDC</t>
  </si>
  <si>
    <t xml:space="preserve">Interest Burden = EBT / EBIT  (proxy: (NI/(1-T)) / OI)</t>
  </si>
  <si>
    <t xml:space="preserve">~1.0 — DVN poco non-op income; interest expense ~$300-500M</t>
  </si>
  <si>
    <t xml:space="preserve">Operating Margin = EBIT / Revenue</t>
  </si>
  <si>
    <t xml:space="preserve">Operating margin colapsa en cíclos bajos (FY25: 22%; FY22: 60%)</t>
  </si>
  <si>
    <t xml:space="preserve">Asset Turnover = Revenue / Total Assets</t>
  </si>
  <si>
    <t xml:space="preserve">Asset turnover ~0.5-0.8× — E&amp;P es capital-intensive</t>
  </si>
  <si>
    <t xml:space="preserve">Equity Multiplier = Total Assets / Equity</t>
  </si>
  <si>
    <t xml:space="preserve">Equity multiplier ~2.0-3.0× — debt/equity moderate</t>
  </si>
  <si>
    <t xml:space="preserve">ROE (DuPont) = product of 5 factors</t>
  </si>
  <si>
    <t xml:space="preserve">ROE GAAP — ver cross-check abajo</t>
  </si>
  <si>
    <t xml:space="preserve">  ROE cross-check = NI / period-end Equity</t>
  </si>
  <si>
    <t xml:space="preserve">Q1 26 anualizado: NI×4/Equity period-end</t>
  </si>
  <si>
    <t xml:space="preserve">  3. ROS2 OPERATIVO (NOPAT / Invested Capital) — métrica relevante para valoración DCF</t>
  </si>
  <si>
    <t xml:space="preserve">NOPAT = EBIT × (1 − effective tax rate)</t>
  </si>
  <si>
    <t xml:space="preserve">Excluye non-op income (más conservador que NI)</t>
  </si>
  <si>
    <t xml:space="preserve">Invested Capital = Equity + Debt − Excess Cash/STI</t>
  </si>
  <si>
    <t xml:space="preserve">Capital efectivamente desplegado en operaciones</t>
  </si>
  <si>
    <t xml:space="preserve">ROS2 operativo = NOPAT / S2</t>
  </si>
  <si>
    <t xml:space="preserve">NOPAT/IC: lectura clave de creación de valor en E&amp;P. Mid-cycle target &gt;12%</t>
  </si>
  <si>
    <t xml:space="preserve">ROS2 − WACC spread (WACC=9.12% from Hipotesis!$C$25)</t>
  </si>
  <si>
    <t xml:space="preserve">Spread ROS2−WACC: E&amp;P depende del ciclo, spread negativo en cíclos bajos es normal</t>
  </si>
  <si>
    <t xml:space="preserve">  4. MÉTRICAS E&amp;P ESPECÍFICAS — F&amp;D Cost, Recycle Ratio, Reserve Replacement, ROCE</t>
  </si>
  <si>
    <t xml:space="preserve">Total production (MMBoe annual)</t>
  </si>
  <si>
    <t xml:space="preserve">10-K segment data; Q1 = 851 MBoe/d × 90 days</t>
  </si>
  <si>
    <t xml:space="preserve">Proved reserves YE (MMBoe)</t>
  </si>
  <si>
    <t xml:space="preserve">10-K reserves disclosures; YE25 2,428 MMBoe</t>
  </si>
  <si>
    <t xml:space="preserve">Capex per Boe ($/Boe)</t>
  </si>
  <si>
    <t xml:space="preserve">Proxy F&amp;D cost: DVN histórico ~$9-15/Boe. Mid-cycle target &lt;$12/Boe</t>
  </si>
  <si>
    <t xml:space="preserve">Production cost per Boe ($/Boe, from 10-K)</t>
  </si>
  <si>
    <t xml:space="preserve">10-K production cost disclosure; FY25 $11.62/Boe is industry-leading</t>
  </si>
  <si>
    <t xml:space="preserve">Field-level cash margin ($/Boe)</t>
  </si>
  <si>
    <t xml:space="preserve">Q1 2026: $27.78/Boe reported. Métrica clave de unit economics</t>
  </si>
  <si>
    <t xml:space="preserve">Recycle ratio (cash margin / Capex per Boe)</t>
  </si>
  <si>
    <t xml:space="preserve">Recycle &gt;2× excelente, &gt;1.5× bueno, &lt;1× destruyendo valor</t>
  </si>
  <si>
    <t xml:space="preserve">Reserves growth YoY %</t>
  </si>
  <si>
    <t xml:space="preserve">YE25 +24% YoY refleja Permian additions principalmente</t>
  </si>
  <si>
    <t xml:space="preserve">Reserve life (R/P, años)</t>
  </si>
  <si>
    <t xml:space="preserve">~7-8 años típico Permian shale (high decline); &gt;10 años indica más diversificación</t>
  </si>
  <si>
    <t xml:space="preserve">ROCE = NOPAT / Capital Employed</t>
  </si>
  <si>
    <t xml:space="preserve">ROCE mid-cycle target &gt;12%; Q1 26 anualizado refleja bottom-of-cycle</t>
  </si>
  <si>
    <t xml:space="preserve">OCF / Revenue %</t>
  </si>
  <si>
    <t xml:space="preserve">OCF/Rev ~40-45% en DVN — alta calidad de earnings (high cash conversion)</t>
  </si>
  <si>
    <t xml:space="preserve">FCF / Revenue %</t>
  </si>
  <si>
    <t xml:space="preserve">FCF/Rev: 18-31% cíclico — máximo FY22 cíclo alto, mínimo FY23-25 reinversión + ciclo bajo</t>
  </si>
  <si>
    <t xml:space="preserve">Net Debt / EBITDA (leverage, leve proxy: EBIT+DA)</t>
  </si>
  <si>
    <t xml:space="preserve">Target &lt;1.0× through-cycle; FY25 ~1.0× sano; pro-forma combined ~1.4× post-merger</t>
  </si>
  <si>
    <t xml:space="preserve">  5. SÍNTESIS — Lectura E&amp;P de DuPont + métricas operativas</t>
  </si>
  <si>
    <t xml:space="preserve">▸ ROE GAAP DVN ciclico: peak ~70% FY22 (cíclo oil $96/Bbl), bottom ~17% FY25 (cíclo $66/Bbl). Q1 26 anualizado ~3% es bottom-of-cycle señal.</t>
  </si>
  <si>
    <t xml:space="preserve">▸ Operating margin: 60% FY22 → 22% FY25 = swing de 38pp por commodity prices. Esta es la realidad fundamental del E&amp;P. Mid-cycle target ~35-40%.</t>
  </si>
  <si>
    <t xml:space="preserve">▸ Asset turnover ~0.5-0.7×: E&amp;P es capital-intensive estructuralmente. La fusión con Coterra eleva total assets a ~$65B pro-forma, requiere producción combinada para mantener turnover.</t>
  </si>
  <si>
    <t xml:space="preserve">▸ Equity multiplier ~2.0-2.5×: moderate leverage. Pro-forma post-merger ~2.2× con debt $12.2B, equity $30B+ combined. Sustainable through-cycle.</t>
  </si>
  <si>
    <t xml:space="preserve">▸ ROCE peak ~50%+ FY22 vs trough ~10% FY25: la métrica de creación de valor más relevante. Mid-cycle target 15-20%. Q1 26 anualizado refleja bottom; debe normalizar con sinergias + ciclo.</t>
  </si>
  <si>
    <t xml:space="preserve">▸ Capex per Boe (proxy F&amp;D cost): $9-15/Boe range. FY25 $12.1/Boe ($3,713M / 307 MMBoe). Excellent for Permian unconventional. Target terminal $10-11/Boe asume eficiencia operativa post-merger.</t>
  </si>
  <si>
    <t xml:space="preserve">▸ Production cost $11.62/Boe FY25 industry-leading: refleja DVN focus en tier-1 inventory + scale operacional. Coterra adds Marcellus low-cost gas. Pro-forma combined producción cost &lt;$11/Boe probable.</t>
  </si>
  <si>
    <t xml:space="preserve">▸ Recycle ratio: ~3-5× en cíclos altos (excelente), ~1.5-2× en cíclos bajos. Es el "north star" del E&amp;P investing — capacidad de regenerar valor por barril producido.</t>
  </si>
  <si>
    <t xml:space="preserve">▸ Reserve life (R/P): ~7-8 años Permian-heavy. Coterra Marcellus aporta gas de longer-life. Pro-forma R/P puede subir a ~9 años, lo cual reduce el riesgo de inventory depletion.</t>
  </si>
  <si>
    <t xml:space="preserve">▸ Conclusión: DVN tiene una franquicia E&amp;P de tier-1 (margin, cost, recycle) pero está atrapado por la realidad cíclica del E&amp;P. El valor "compounder-style" no existe; el valor está en disciplina de capital + retornos de FCF normalizado. La fusión Coterra mejora el mix (diversifica gas) y unit economics si las sinergias se realizan.</t>
  </si>
  <si>
    <t xml:space="preserve">DEVON ENERGY — REVERSE DCF: ¿Qué pricea el mercado a $49.49?</t>
  </si>
  <si>
    <t xml:space="preserve">Dado spot $49.49 vs mediana modelo $45.99, ¿qué assumptions se requieren? Closed-form solutions.</t>
  </si>
  <si>
    <t xml:space="preserve">  INPUTS COMUNES (link a Modelo/Hipotesis)</t>
  </si>
  <si>
    <t xml:space="preserve">Spot price ($)</t>
  </si>
  <si>
    <t xml:space="preserve">Shares diluidas (M)</t>
  </si>
  <si>
    <t xml:space="preserve">Equity &amp; other investments ($mm)</t>
  </si>
  <si>
    <t xml:space="preserve">Total Debt ($mm)</t>
  </si>
  <si>
    <t xml:space="preserve">WACC (caso base)</t>
  </si>
  <si>
    <t xml:space="preserve">Terminal g (caso base)</t>
  </si>
  <si>
    <t xml:space="preserve">Σ PV explicit FCFF FY26-FY30 (Modelo)</t>
  </si>
  <si>
    <t xml:space="preserve">FY30E FCFF (Modelo)</t>
  </si>
  <si>
    <t xml:space="preserve">FY30E EBIT (Modelo)</t>
  </si>
  <si>
    <t xml:space="preserve">FY30E D&amp;A (Modelo)</t>
  </si>
  <si>
    <t xml:space="preserve">FY30E Revenue (Modelo)</t>
  </si>
  <si>
    <t xml:space="preserve">FY30E NOPAT (Modelo)</t>
  </si>
  <si>
    <t xml:space="preserve">Effective tax rate</t>
  </si>
  <si>
    <t xml:space="preserve">  CÁLCULOS INTERMEDIOS (Δ implícita vs caso base)</t>
  </si>
  <si>
    <t xml:space="preserve">Equity target = Spot × Shares ($mm)</t>
  </si>
  <si>
    <t xml:space="preserve">(+) Debt</t>
  </si>
  <si>
    <t xml:space="preserve">(−) Cash + STI</t>
  </si>
  <si>
    <t xml:space="preserve">(−) Equity &amp; other investments</t>
  </si>
  <si>
    <t xml:space="preserve">Enterprise Value target ($mm)</t>
  </si>
  <si>
    <t xml:space="preserve">(−) Σ PV explicit FCFF</t>
  </si>
  <si>
    <t xml:space="preserve">PV(TV) implícito ($mm)</t>
  </si>
  <si>
    <t xml:space="preserve">TV nominal implícito (×(1+WACC)^5)</t>
  </si>
  <si>
    <t xml:space="preserve">  A. ¿Qué g_terminal implica el spot?  (manteniendo WACC, FCFF base, bridge)</t>
  </si>
  <si>
    <t xml:space="preserve">Fórmula: g = (TV·WACC − FCFF_30) / (TV + FCFF_30)</t>
  </si>
  <si>
    <t xml:space="preserve">g_terminal implícito (Gordon)</t>
  </si>
  <si>
    <t xml:space="preserve">vs base 2.0%:</t>
  </si>
  <si>
    <t xml:space="preserve">Si &gt;0 ↑ → mercado más optimista que base 2.0%. Si &lt;0 → más pesimista.</t>
  </si>
  <si>
    <t xml:space="preserve">  B. ¿Qué WACC implica el spot? (manteniendo g_terminal=3%, FCFF base, bridge)</t>
  </si>
  <si>
    <t xml:space="preserve">Aproximación: como WACC afecta TV y descuento, no hay fórmula cerrada. Tabla de precios implícitos:</t>
  </si>
  <si>
    <t xml:space="preserve">WACC →</t>
  </si>
  <si>
    <t xml:space="preserve">Precio implícito ($)</t>
  </si>
  <si>
    <t xml:space="preserve">WACC implícito (interpolado vs spot)</t>
  </si>
  <si>
    <t xml:space="preserve">vs base 8.9%:</t>
  </si>
  <si>
    <t xml:space="preserve">(FORECAST.LINEAR sobre la tabla — válida en el entorno del spot $49.49)</t>
  </si>
  <si>
    <t xml:space="preserve">  C. ¿Qué margen EBIT FY30E implica el spot? (manteniendo Rev FY30E, Capex/Rev, g, WACC)</t>
  </si>
  <si>
    <t xml:space="preserve">Aprox: terminal margin solo afecta TV (PV explícito a caso base).</t>
  </si>
  <si>
    <t xml:space="preserve">FCFF terminal implícito ($mm)</t>
  </si>
  <si>
    <t xml:space="preserve">vs base:</t>
  </si>
  <si>
    <t xml:space="preserve">NOPAT terminal implícito = FCFF − D&amp;A − Capex_signed − ΔWC_signed</t>
  </si>
  <si>
    <t xml:space="preserve">EBIT terminal implícito = NOPAT / (1−T)</t>
  </si>
  <si>
    <t xml:space="preserve">EBIT margin FY30E implícito</t>
  </si>
  <si>
    <t xml:space="preserve">Si &lt;base, mercado descuenta margen operativo presionado (oil prices bajos persistentes).</t>
  </si>
  <si>
    <t xml:space="preserve">  D. ¿Qué Capex/Rev terminal implica el spot? (manteniendo EBIT margin base, g, WACC)</t>
  </si>
  <si>
    <t xml:space="preserve">Capex terminal implícito ($mm)</t>
  </si>
  <si>
    <t xml:space="preserve">Capex/Rev terminal implícito</t>
  </si>
  <si>
    <t xml:space="preserve">vs base 22.5%:</t>
  </si>
  <si>
    <t xml:space="preserve">Si &gt;base 22.5%, mercado descuenta capex inflation y growth capex sostenido.</t>
  </si>
  <si>
    <t xml:space="preserve">  E. ¿Qué Revenue CAGR FY25→FY30 implica el spot?  (escala uniforme, margenes y Capex/Rev fijos)</t>
  </si>
  <si>
    <t xml:space="preserve">Base EV = PV_explicit + PV(TV_base) (from Modelo)</t>
  </si>
  <si>
    <t xml:space="preserve">Scaling factor k = Target EV / Base EV</t>
  </si>
  <si>
    <t xml:space="preserve">Implied FY30E Revenue = Base × k</t>
  </si>
  <si>
    <t xml:space="preserve">Revenue CAGR FY25→FY30 implícito</t>
  </si>
  <si>
    <t xml:space="preserve">Tasa de crecimiento que necesita DVN para que $49.49 sea justo, manteniendo ratios.</t>
  </si>
  <si>
    <t xml:space="preserve">  F. SÍNTESIS — qué pricea el mercado vs caso base</t>
  </si>
  <si>
    <t xml:space="preserve">Variable</t>
  </si>
  <si>
    <t xml:space="preserve">Base case</t>
  </si>
  <si>
    <t xml:space="preserve">Implícito (ceteris paribus)</t>
  </si>
  <si>
    <t xml:space="preserve">Δ</t>
  </si>
  <si>
    <t xml:space="preserve">Lectura</t>
  </si>
  <si>
    <t xml:space="preserve">Terminal g (perpetuidad)</t>
  </si>
  <si>
    <t xml:space="preserve">Implícito 1.2% &lt; base 2.0% → mercado algo más conservador en terminal growth</t>
  </si>
  <si>
    <t xml:space="preserve">WACC</t>
  </si>
  <si>
    <t xml:space="preserve">Implícito 9.7% &gt; base 8.9% → mercado exige ~80bp más retorno (riesgo cíclico)</t>
  </si>
  <si>
    <t xml:space="preserve">EBIT margin FY30E</t>
  </si>
  <si>
    <t xml:space="preserve">Si implícito margen &gt; base, mercado pricea upside cíclico (oil higher mid-cycle)</t>
  </si>
  <si>
    <t xml:space="preserve">Capex/Rev terminal</t>
  </si>
  <si>
    <t xml:space="preserve">Si implícito Capex/Rev &lt; base 22.5%, mercado expects normalización a lower capex intensity</t>
  </si>
  <si>
    <t xml:space="preserve">Revenue CAGR FY25→FY30</t>
  </si>
  <si>
    <t xml:space="preserve">Es la combinación implícita de growth de volumen × precio realizado FY25→FY30</t>
  </si>
  <si>
    <t xml:space="preserve">  G. LECTURA INTEGRAL</t>
  </si>
  <si>
    <t xml:space="preserve">▸ El reverse-DCF se ancla en el método DCF Gordon, cuyo valor base es $56.61 (WACC 8.9%, g 2.0%). El spot $49.49 está POR DEBAJO de ese ancla DCF, de modo que el mercado descuenta un escenario marginalmente MÁS CONSERVADOR que mi caso DCF base: WACC implícito ~9.7% (vs 8.9%), g implícito ~1.2% (vs 2.0%) y Revenue CAGR FY25-FY30 implícito ~3% (vs ~5% base).</t>
  </si>
  <si>
    <t xml:space="preserve">▸ Importante: el spot $49.49 está POR ENCIMA de la mediana de los 8 métodos ($45.99) porque los múltiplos de revenue (EV/Revenue $17-28) arrastran la mediana hacia abajo. Frente al DCF está barato; frente a la mediana global está caro. Esta divergencia es la señal central: la valoración depende críticamente de qué metodología se priorice.</t>
  </si>
  <si>
    <t xml:space="preserve">▸ Si crees que DVN ejecuta sinergias 100% y oil mid-cycle se mantiene en $70-75/Bbl, el DCF Gordon $56.61 es defendible y hay upside ~14% vs spot. Si crees que el ciclo queda en $55-65/Bbl y las sinergias se realizan parcialmente, el spot ya descuenta razonablemente y los múltiplos de revenue avisan de downside.</t>
  </si>
  <si>
    <t xml:space="preserve">▸ Las 8 metodologías rinden $17.63-$63.10. El spot $49.49 cae entre el DCF Exit EV/EBITDA ($47.97) y el DCF Exit EV/EBIT ($55.04) — coherente con un nombre fairly-to-slightly-fully valued en este punto del ciclo.</t>
  </si>
  <si>
    <t xml:space="preserve">▸ El reverse-DCF en E&amp;P es especialmente revelador: hace explícito el deck de precios del crudo que el mercado descuenta. La apuesta no es sobre "el spot vs mi target" sino sobre "mi deck de oil/gas mid-cycle vs el deck implícito del mercado". Ahí está la verdadera decisión de inversión.</t>
  </si>
  <si>
    <t xml:space="preserve">DEVON ENERGY — CONCLUSIONES Y SÍNTESIS DE LA VALORACIÓN</t>
  </si>
  <si>
    <t xml:space="preserve">Síntesis cualitativa. Compañera de Modelo (números) y DuPont_WC (returns).</t>
  </si>
  <si>
    <t xml:space="preserve">  1. TESIS CENTRAL</t>
  </si>
  <si>
    <t xml:space="preserve">Tesis</t>
  </si>
  <si>
    <t xml:space="preserve">DVN (post-Coterra) es una tesis E&amp;P cíclica. El valor depende del FCF mid-cycle through-the-cycle, la disciplina de capital, y la credibilidad de los $1B en sinergias. NO es un compounder; sí puede ser un retorno-de-capital story atractivo si el ciclo acompaña y el balance se mantiene.</t>
  </si>
  <si>
    <t xml:space="preserve">  2. EL DEBATE CENTRAL — ¿Cuánto del FCF FY22 ($6B) es repetible mid-cycle?</t>
  </si>
  <si>
    <t xml:space="preserve">Bear case</t>
  </si>
  <si>
    <t xml:space="preserve">BEAR: Oil $50-55/Bbl, gas $1.50/Mcf, capex inflation aprieta margenes, sinergias se realizan solo 50% del target, el equity ratio buyback se ralentiza. Precio implícito: $25-35.</t>
  </si>
  <si>
    <t xml:space="preserve">Bull case</t>
  </si>
  <si>
    <t xml:space="preserve">BULL: Oil $75-85/Bbl sostenido, gas $3-4/Mcf con demanda LNG/AI, sinergias se realizan 100%+ con upside operacional, productividad de inventario Permian+Marcellus excede expectativas. Precio implícito: $70-85.</t>
  </si>
  <si>
    <t xml:space="preserve">Mi lectura</t>
  </si>
  <si>
    <t xml:space="preserve">BASE (lectura del modelo): asumiendo Oil $62-67/Bbl, gas $2-2.80/Mcf normalized, sinergias 100% ejecutadas, maintenance capex disciplinado, el FCFF FY26-FY30 es $3.7-5.5B/año. La mediana 8 metodologías = $45.99, casi en línea con spot. Margen de seguridad limitado.</t>
  </si>
  <si>
    <t xml:space="preserve">  3. ESCENARIOS DE VALORACIÓN</t>
  </si>
  <si>
    <t xml:space="preserve">Escenario</t>
  </si>
  <si>
    <t xml:space="preserve">Drivers clave</t>
  </si>
  <si>
    <t xml:space="preserve">Precio implícito</t>
  </si>
  <si>
    <t xml:space="preserve">Bear (30%)</t>
  </si>
  <si>
    <t xml:space="preserve">~$30</t>
  </si>
  <si>
    <t xml:space="preserve">30%</t>
  </si>
  <si>
    <t xml:space="preserve">Base (45%)</t>
  </si>
  <si>
    <t xml:space="preserve">~$46</t>
  </si>
  <si>
    <t xml:space="preserve">45%</t>
  </si>
  <si>
    <t xml:space="preserve">Bull (25%)</t>
  </si>
  <si>
    <t xml:space="preserve">~$70</t>
  </si>
  <si>
    <t xml:space="preserve">25%</t>
  </si>
  <si>
    <t xml:space="preserve">Probabilistic mean</t>
  </si>
  <si>
    <t xml:space="preserve">100%</t>
  </si>
  <si>
    <t xml:space="preserve">  4. DRIVERS CLAVE — RANKED BY SENSITIVITY</t>
  </si>
  <si>
    <t xml:space="preserve">#1 — Precio realizado del crudo ($/Bbl)</t>
  </si>
  <si>
    <t xml:space="preserve">Cada +$5/Bbl en oil realized ≈ +$8-10 precio (mayor sensibilidad del modelo). Oil = 66% del revenue upstream. WTI ~$72/Bbl Q1 26, $69/Bbl spot pet-25. Riesgo: deck OPEC+, demanda china, electrificación EV.</t>
  </si>
  <si>
    <t xml:space="preserve">#2 — Volumen de producción combinado (MBoe/d)</t>
  </si>
  <si>
    <t xml:space="preserve">Pro-forma combined 1,587 MBoe/d FY26E. Cada +5% volumen ≈ +$3-4 precio. Depende de decline rates (Permian 30%+ year-1), drilling efficiency, y capex allocation entre cuencas. La integration post-merger es clave.</t>
  </si>
  <si>
    <t xml:space="preserve">#3 — Sinergias realizadas vs prometidas</t>
  </si>
  <si>
    <t xml:space="preserve">$1,000M target = ~$11/share NPV simple. Asumimos 40% Y1, 100% Y2+. Si se realizan solo 50%, precio cae ~$5-6. Si se exceden $1.2B con upside operacional, +$3-4.</t>
  </si>
  <si>
    <t xml:space="preserve">#4 — Capex de mantenimiento ($/Boe)</t>
  </si>
  <si>
    <t xml:space="preserve">Asumimos $10/Boe terminal (F&amp;D cost). DVN histórico $11-13/Boe. Cada +$1/Boe ≈ −$4-5 precio terminal. Inflación de servicios (rigs, frac crews, sand, steel) es el riesgo principal.</t>
  </si>
  <si>
    <t xml:space="preserve">#5 — WACC (8.9% computed)</t>
  </si>
  <si>
    <t xml:space="preserve">Cada +100bp WACC ≈ −$6-8 precio. Sensible al beta sectorial (usamos 1.20 Damodaran E&amp;P, no 0.43 Google). Risk de re-rating si crédito spreads se amplían en downcycle.</t>
  </si>
  <si>
    <t xml:space="preserve">#6 — Capital allocation (buyback vs deuda)</t>
  </si>
  <si>
    <t xml:space="preserve">$8B authorized post-merger. Si se ejecuta dilutivamente arriba de $55 ya no es accretive. Riesgo de prociclicidad: comprar más cuando el ciclo está alto y reducir cuando está bajo.</t>
  </si>
  <si>
    <t xml:space="preserve">  5. RIESGOS PRINCIPALES</t>
  </si>
  <si>
    <t xml:space="preserve">Riesgo</t>
  </si>
  <si>
    <t xml:space="preserve">Magnitud / Impacto</t>
  </si>
  <si>
    <t xml:space="preserve">Commodity price downside</t>
  </si>
  <si>
    <t xml:space="preserve">Oil &lt; $50/Bbl + gas &lt; $1.50/Mcf simultáneo es el escenario que rompe la tesis. FCF caería de $5B a &lt;$2B, capital returns deben ajustarse. La beta 1.20 ya incorpora algo, pero −20% en oil = −$20 precio approximate.</t>
  </si>
  <si>
    <t xml:space="preserve">Integración Coterra</t>
  </si>
  <si>
    <t xml:space="preserve">Riesgo operativo: cultura DVN (Permian/oil-focus) vs CTRA (Marcellus/gas-focus). Cumberbatch (CFO CTRA) ya fuera; Gaspar (DVN) CEO retained. Si las sinergias se retrasan 12-18 meses, valoración cae $5-8.</t>
  </si>
  <si>
    <t xml:space="preserve">Cost inflation servicios</t>
  </si>
  <si>
    <t xml:space="preserve">Rig rates, frac crews, sand, steel — cíclico con el precio del petróleo. En cíclo alto los costes suben más rápido que precios realizados (margin squeeze). Riesgo de capex inflation +10-15% en escenario alto.</t>
  </si>
  <si>
    <t xml:space="preserve">Reservas / decline rates</t>
  </si>
  <si>
    <t xml:space="preserve">Proved reserves 2,428 MMBoe DVN + ~1,200 MMBoe CTRA. Permian decline 30%+ year-1 requires continuous drilling. Si productividad por pozo cae (high-grading exhaustion), maintenance capex sube y FCF cae.</t>
  </si>
  <si>
    <t xml:space="preserve">Competencia / consolidación</t>
  </si>
  <si>
    <t xml:space="preserve">Permian: COP, FANG, OXY, EOG son rivales por tier-1 inventory. CTRA Marcellus: EQT, AR, RRC. Riesgo de re-rating relativo si DVN under-performs operationally vs peers (production growth, well productivity).</t>
  </si>
  <si>
    <t xml:space="preserve">Regulación / ESG / transición energética</t>
  </si>
  <si>
    <t xml:space="preserve">Federal lands moratoria (poco impacto, DVN ~95% state/private). Methane rules EPA — costes incrementales $50-100M/año. Carbon tax: hipotético pero existencial. Equity-friendly regulación post-2026 elections es factor binario.</t>
  </si>
  <si>
    <t xml:space="preserve">Macro / recesión</t>
  </si>
  <si>
    <t xml:space="preserve">Demanda de petróleo es pro-cíclica. Recesión EE.UU. 2026-27 = WTI puede caer a $40s temporalmente. DVN aguanta por balance (Debt/EBITDA ~1.5×) pero capital returns se ajustarían rápidamente.</t>
  </si>
  <si>
    <t xml:space="preserve">Tail risk geopolítico (asimétrico al alza)</t>
  </si>
  <si>
    <t xml:space="preserve">Oriente Medio (Irán/Israel/Hormuz), Rusia/Ucrania resolución, sanciones Venezuela. Eventos +20-30% WTI temporales benefician a DVN desproporcionadamente. Difícil de modelar; opcionalidad gratis.</t>
  </si>
  <si>
    <t xml:space="preserve">  6. CONCLUSIÓN — DECISIÓN DE INVERSIÓN</t>
  </si>
  <si>
    <t xml:space="preserve">Veredicto</t>
  </si>
  <si>
    <t xml:space="preserve">HOLD. Spot $49.49 vs mediana modelo $45.99 = ~7% downside según mi base case. La tesis NO es asimétrica al alza; el rango $17-$63 muestra incertidumbre cíclica genuina. Para BUY requeriría margen de seguridad +20% (precio &lt;$38) o convicción más alta en escenario bull (oil &gt;$80 sostenido).</t>
  </si>
  <si>
    <t xml:space="preserve">Recomendación</t>
  </si>
  <si>
    <t xml:space="preserve">HOLD con preferencia táctica de añadir sub-$40 (margen seguridad ~15% vs mediana). Posición full size justificaría confianza alta en (a) execution sinergias, (b) deck oil &gt;$70 mid-cycle, (c) capital allocation disciplinado. Target price 12 meses: $46-52.</t>
  </si>
  <si>
    <t xml:space="preserve">Catalizadores a 12 meses</t>
  </si>
  <si>
    <t xml:space="preserve">1) Q2-Q3 2026 ER — primeros consolidated post-merger numbers; production guidance combined; integration update. 2) Sinergias 6-month progress report Nov-2026. 3) Capital returns framework update H2-2026 (dividend variable, $8B buyback pacing). 4) FY27 budget enero-2027 — capex split mainten/growth. 5) Oil deck OPEC+ — meeting jun-2026.</t>
  </si>
  <si>
    <t xml:space="preserve">DEVON ENERGY — FUENTES Y REFERENCIAS</t>
  </si>
  <si>
    <t xml:space="preserve">Cita SIEMPRE fuentes primarias (SEC EDGAR) para datos históricos. Damodaran/Fed para inputs de mercado.</t>
  </si>
  <si>
    <t xml:space="preserve">  1. FILINGS REGULATORIOS (Filings regulador) — fuentes primarias</t>
  </si>
  <si>
    <t xml:space="preserve">Documento</t>
  </si>
  <si>
    <t xml:space="preserve">Fecha</t>
  </si>
  <si>
    <t xml:space="preserve">URL</t>
  </si>
  <si>
    <t xml:space="preserve">Uso en modelo</t>
  </si>
  <si>
    <t xml:space="preserve">DVN 10-K FY2025 (Form 10-K)</t>
  </si>
  <si>
    <t xml:space="preserve">20-feb-2026</t>
  </si>
  <si>
    <t xml:space="preserve">https://www.sec.gov/Archives/edgar/data/0001090012/000119312526056485/dvn-20251231.htm</t>
  </si>
  <si>
    <t xml:space="preserve">Income Statement, BS, CF FY21-FY25; segmento commodity revenue (Oil/Gas/NGL/M&amp;M); producción Boe; reservas YE25 (2,428 MMBoe); realized prices y costes producción</t>
  </si>
  <si>
    <t xml:space="preserve">DVN Q1 2026 earnings 8-K</t>
  </si>
  <si>
    <t xml:space="preserve">5-may-2026</t>
  </si>
  <si>
    <t xml:space="preserve">https://www.sec.gov/Archives/edgar/data/0001090012/000119312526206689/d947371dex992.htm</t>
  </si>
  <si>
    <t xml:space="preserve">Q1 26 IS/CF: Revenue $3,807M, NI $120M, OCF $1,655M, Capex $848M; producción 851 MBoe/d; realized prices Oil $69.66/Gas $1.66/NGL $17.80</t>
  </si>
  <si>
    <t xml:space="preserve">Devon/Coterra Merger Agreement (S-4)</t>
  </si>
  <si>
    <t xml:space="preserve">2-feb-2026</t>
  </si>
  <si>
    <t xml:space="preserve">https://www.sec.gov/Archives/edgar/data/0001090012/000119312526032720/d75203dex991.htm</t>
  </si>
  <si>
    <t xml:space="preserve">Términos del merger: 0.70 DVN/CTRA share, $1B sinergias target, $8B buyback authorization, Clay Gaspar CEO, Shannon Young III CFO</t>
  </si>
  <si>
    <t xml:space="preserve">DVN/CTRA Merger Closing 425 filing</t>
  </si>
  <si>
    <t xml:space="preserve">https://www.sec.gov/Archives/edgar/data/0001090012/000119312526204307/d150144d425.htm</t>
  </si>
  <si>
    <t xml:space="preserve">Confirmación cierre operación; shareholders aprobaron 4-may-2026; combined company keeps DVN ticker</t>
  </si>
  <si>
    <t xml:space="preserve">CTRA 10-K FY2025 (Coterra Energy)</t>
  </si>
  <si>
    <t xml:space="preserve">24-feb-2026</t>
  </si>
  <si>
    <t xml:space="preserve">https://www.sec.gov/Archives/edgar/data/0000858470/000085847026000073/cog-20251231.htm</t>
  </si>
  <si>
    <t xml:space="preserve">Datos Coterra FY25 standalone para construir pro-forma: Revenue $7,650M, NI $1,720M, debt $3.8B, producción 747 MBoe/d Marcellus-heavy</t>
  </si>
  <si>
    <t xml:space="preserve">DVN 10-K FY2023 (cross-check)</t>
  </si>
  <si>
    <t xml:space="preserve">feb-2024</t>
  </si>
  <si>
    <t xml:space="preserve">https://www.sec.gov/cgi-bin/browse-edgar?action=getcompany&amp;CIK=0001090012&amp;type=10-K</t>
  </si>
  <si>
    <t xml:space="preserve">Cross-check FY22-FY23 históricos; segment volumes y precios para serie 5-year</t>
  </si>
  <si>
    <t xml:space="preserve">DVN 10-K FY2021 (cross-check)</t>
  </si>
  <si>
    <t xml:space="preserve">feb-2022</t>
  </si>
  <si>
    <t xml:space="preserve">FY21 base year — Revenue $12.2B (NO $6.2B como aparecía en PDF original); confirma cifras XBRL</t>
  </si>
  <si>
    <t xml:space="preserve">  2. MERCADO Y MACRO</t>
  </si>
  <si>
    <t xml:space="preserve">Fuente</t>
  </si>
  <si>
    <t xml:space="preserve">Dato (15-may-2026)</t>
  </si>
  <si>
    <t xml:space="preserve">Tipo libre de riesgo (bono soberano 10Y)</t>
  </si>
  <si>
    <t xml:space="preserve">DGS10: 4.5% (19-may-2026, Fed H.15)</t>
  </si>
  <si>
    <t xml:space="preserve">https://www.federalreserve.gov/releases/h15/</t>
  </si>
  <si>
    <t xml:space="preserve">Risk-free rate input (Hipotesis!$C$9)</t>
  </si>
  <si>
    <t xml:space="preserve">Equity Risk Premium (recomendado: Damodaran)</t>
  </si>
  <si>
    <t xml:space="preserve">ERP 2026 Edition (Damodaran): ~4.5%</t>
  </si>
  <si>
    <t xml:space="preserve">https://pages.stern.nyu.edu/~adamodar/</t>
  </si>
  <si>
    <t xml:space="preserve">Equity Risk Premium (Hipotesis!$C$10)</t>
  </si>
  <si>
    <t xml:space="preserve">Cotización spot DVN</t>
  </si>
  <si>
    <t xml:space="preserve">DVN $49.49 (19-may-2026 close estimado)</t>
  </si>
  <si>
    <t xml:space="preserve">Yahoo Finance / Google Finance</t>
  </si>
  <si>
    <t xml:space="preserve">Spot price (Hipotesis!$C$6)</t>
  </si>
  <si>
    <t xml:space="preserve">Rango 52 semanas DVN</t>
  </si>
  <si>
    <t xml:space="preserve">$30.24 (apr-2026 low) – $52.71 (peak)</t>
  </si>
  <si>
    <t xml:space="preserve">Yahoo Finance</t>
  </si>
  <si>
    <t xml:space="preserve">Contexto histórico Resumen</t>
  </si>
  <si>
    <t xml:space="preserve">Beta sectorial (recomendado: Damodaran Industry Beta)</t>
  </si>
  <si>
    <t xml:space="preserve">Beta sectorial E&amp;P (Damodaran 2026): 1.10-1.30 range, usamos 1.20</t>
  </si>
  <si>
    <t xml:space="preserve">https://pages.stern.nyu.edu/~adamodar/New_Home_Page/datafile/Betas.html</t>
  </si>
  <si>
    <t xml:space="preserve">Beta sector E&amp;P (Hipotesis!$C$11) — NO usar beta Google 0.43 que sub-estima riesgo cíclico</t>
  </si>
  <si>
    <t xml:space="preserve">  3. PEERS Y CROSS-CHECKS</t>
  </si>
  <si>
    <t xml:space="preserve">Peer</t>
  </si>
  <si>
    <t xml:space="preserve">Métrica clave</t>
  </si>
  <si>
    <t xml:space="preserve">Uso</t>
  </si>
  <si>
    <t xml:space="preserve">EOG Resources — 10-K FY25</t>
  </si>
  <si>
    <t xml:space="preserve">Market cap ~$70B, P/E ~10×, FCF yield ~9%</t>
  </si>
  <si>
    <t xml:space="preserve">https://investors.eogresources.com/</t>
  </si>
  <si>
    <t xml:space="preserve">Comparable pure-play oil-weighted E&amp;P; benchmark capital discipline</t>
  </si>
  <si>
    <t xml:space="preserve">Diamondback Energy (FANG) — 10-K FY25</t>
  </si>
  <si>
    <t xml:space="preserve">Market cap ~$45B, P/E ~12×, FCF yield ~10%</t>
  </si>
  <si>
    <t xml:space="preserve">https://ir.diamondbackenergy.com/</t>
  </si>
  <si>
    <t xml:space="preserve">Permian pure-play; benchmark unit economics, capex/Boe</t>
  </si>
  <si>
    <t xml:space="preserve">ConocoPhillips (COP) — 10-K FY25</t>
  </si>
  <si>
    <t xml:space="preserve">Market cap ~$140B, P/E ~13×, dividend yield 3%+</t>
  </si>
  <si>
    <t xml:space="preserve">https://www.conocophillips.com/investor-information/</t>
  </si>
  <si>
    <t xml:space="preserve">Multi-basin large-cap E&amp;P; benchmark diversification y capital allocation</t>
  </si>
  <si>
    <t xml:space="preserve">Occidental Petroleum (OXY) — 10-K FY25</t>
  </si>
  <si>
    <t xml:space="preserve">Market cap ~$50B, P/E ~14×, Berkshire stake</t>
  </si>
  <si>
    <t xml:space="preserve">https://www.oxy.com/investors/</t>
  </si>
  <si>
    <t xml:space="preserve">Permian + Gulf of Mexico + DAC; benchmark balance sheet recovery post-CrownRock</t>
  </si>
  <si>
    <t xml:space="preserve">  4. DOCUMENTOS INTERNOS / RESEARCH USADOS</t>
  </si>
  <si>
    <t xml:space="preserve">Origen</t>
  </si>
  <si>
    <t xml:space="preserve">DVN-research-prevaluation-v0.2 (PDF)</t>
  </si>
  <si>
    <t xml:space="preserve">15-may-2026</t>
  </si>
  <si>
    <t xml:space="preserve">Documento aportado por usuario</t>
  </si>
  <si>
    <t xml:space="preserve">Marco analítico inicial. NOTA: las cifras históricas del PDF eran incorrectas (Revenue FY21 $6.2B vs real $12.2B; revenue FY25 $15.3B vs real $17.2B). Usamos SEC primary sources directamente.</t>
  </si>
  <si>
    <t xml:space="preserve">Modelo MSFT previo (plantilla 8-sheet de referencia)</t>
  </si>
  <si>
    <t xml:space="preserve">14-may-2026</t>
  </si>
  <si>
    <t xml:space="preserve">Repositorio interno</t>
  </si>
  <si>
    <t xml:space="preserve">Plantilla 8-sheet replicada (Resumen/Hipotesis/Historico/Modelo/DuPont_WC/Reverse_DCF/Conclusiones/Fuentes) para consistencia metodológica</t>
  </si>
  <si>
    <t xml:space="preserve">  5. NOTAS METODOLÓGICAS</t>
  </si>
  <si>
    <t xml:space="preserve">Todas las cifras históricas DVN verificadas contra 10-K originales (SEC EDGAR). Las cifras del PDF inicial v0.2 contenían errores materiales (revenue FY21 $6.2B vs real $12.2B; capex FY23 $11.3B vs real $3.8B) — se descartaron y se reconstruyó desde fuentes primarias.</t>
  </si>
  <si>
    <t xml:space="preserve">Tasa fiscal efectiva: usamos 22% para modelo (promedio FY23-FY25 normalizado, vs 23% en FY25). En E&amp;P el effective rate varia con depletion/IDC deductions, suele estar 18-25%.</t>
  </si>
  <si>
    <t xml:space="preserve">Descomposición P×Q: Revenue = Production (volumen MMBoe) × Realized Price ($/unit). Tres "segmentos": Oil, Gas, NGL. Marketing &amp; Midstream se trata como pass-through (~0% margen) y se excluye del segment math.</t>
  </si>
  <si>
    <t xml:space="preserve">Pro-forma combined Devon+Coterra: FY25 base combinada $24.8B revenue (DVN $17.2B + CTRA $7.7B). Las proyecciones FY26E asumen año completo combinado vs DVN standalone (de ahí el step-up +45% oil/+215% gas en FY26E growth).</t>
  </si>
  <si>
    <t xml:space="preserve">Maintenance vs Growth capex: split 85/15% FY26E, 95/5% terminal. Maintenance ≈ F&amp;D cost ($10/Boe target). Growth ≈ inversion para expansión de producción. Justificación: ciclo maduro Permian/Marcellus, decline rates altos requieren capex sostenido solo para mantener producción.</t>
  </si>
  <si>
    <t xml:space="preserve">Damodaran ERP: edition Jan-2026, ~4.5% implied basada en S&amp;P 500 dividend + buyback yields. Alternativa histórica geo-arith mean 4-6%. Usamos 4.5% punto medio.</t>
  </si>
  <si>
    <t xml:space="preserve">Cost of debt: DVN BBB+/Baa1 rated, spread ~100bp sobre 10Y UST. Calculado como Rf 4.5% + 100bp = 5.5% pre-tax. After-tax 5.5%×(1−22%) = 4.29%.</t>
  </si>
  <si>
    <t xml:space="preserve">Beta sectorial 1.20: Damodaran "Oil/Gas (Production and Exploration)" 2026 estimate. NO usar beta Yahoo/Google 0.43 (DVN standalone 5Y monthly), sub-estima dramatically el riesgo cíclico post-merger.</t>
  </si>
  <si>
    <t xml:space="preserve">8 métodos de valoración: 5 DCF (Gordon, H-Model, Exit EV/EBITDA, Exit EV/EBIT, Exit EV/Revenue) + 3 NTM multiples (P/E, EV/EBITDA, EV/Revenue). La mediana ($45.99) se usa como punto central; el rango ($17.63-$63.10) refleja la incertidumbre cíclica real.</t>
  </si>
  <si>
    <t xml:space="preserve">Sensibilidades embebidas (Tablas A-D en Modelo cols L-R): recompute completo, no TABLE() de Excel. Highlight verde &gt; spot, rojo &lt; spot. Rangos recalibrados a niveles E&amp;P (Capex/Rev 17-30%, Op margin 20-40%, WACC 7.5-12%).</t>
  </si>
  <si>
    <t xml:space="preserve">Modelo construido 19-may-2026. Auditable end-to-end vía formulas. 774 formulas totales, 0 errors en recalc completo.</t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</si>
</sst>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\$#,##0.00"/>
    <numFmt numFmtId="166" formatCode="\$#,##0"/>
    <numFmt numFmtId="167" formatCode="#,##0"/>
    <numFmt numFmtId="168" formatCode="@"/>
    <numFmt numFmtId="169" formatCode="0.00"/>
    <numFmt numFmtId="170" formatCode="\$#,##0;&quot;($&quot;#,##0\)"/>
    <numFmt numFmtId="171" formatCode="\+0.0%;\-0.0%"/>
    <numFmt numFmtId="172" formatCode="#,##0.0"/>
    <numFmt numFmtId="173" formatCode="0.00%"/>
    <numFmt numFmtId="174" formatCode="0.0%"/>
    <numFmt numFmtId="175" formatCode="0"/>
    <numFmt numFmtId="176" formatCode="0.0\x"/>
    <numFmt numFmtId="177" formatCode="0.0"/>
    <numFmt numFmtId="178" formatCode="0.000"/>
    <numFmt numFmtId="179" formatCode="0%"/>
    <numFmt numFmtId="180" formatCode="\+0.00%;\-0.00%"/>
    <numFmt numFmtId="181" formatCode="General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B050"/>
      <name val="Arial"/>
      <family val="0"/>
      <charset val="1"/>
    </font>
    <font>
      <i val="true"/>
      <sz val="8"/>
      <color rgb="FF666666"/>
      <name val="Arial"/>
      <family val="0"/>
      <charset val="1"/>
    </font>
    <font>
      <i val="true"/>
      <sz val="10"/>
      <color rgb="FF0070C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70C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name val="Arial"/>
      <family val="2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u val="single"/>
      <sz val="8"/>
      <color rgb="FF0563C1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1F4E78"/>
      </patternFill>
    </fill>
    <fill>
      <patternFill patternType="solid">
        <fgColor rgb="FFFFE699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1F4E78"/>
        <bgColor rgb="FF1F3864"/>
      </patternFill>
    </fill>
    <fill>
      <patternFill patternType="solid">
        <fgColor rgb="FFFFFF00"/>
        <bgColor rgb="FFFFCC00"/>
      </patternFill>
    </fill>
    <fill>
      <patternFill patternType="solid">
        <fgColor rgb="FFC6EFCE"/>
        <bgColor rgb="FFE2EFDA"/>
      </patternFill>
    </fill>
    <fill>
      <patternFill patternType="solid">
        <fgColor rgb="FF2E75B6"/>
        <bgColor rgb="FF4F81BD"/>
      </patternFill>
    </fill>
    <fill>
      <patternFill patternType="solid">
        <fgColor rgb="FFF2F2F2"/>
        <bgColor rgb="FFF9F9F9"/>
      </patternFill>
    </fill>
    <fill>
      <patternFill patternType="solid">
        <fgColor rgb="FFFFF2CC"/>
        <bgColor rgb="FFF2F2F2"/>
      </patternFill>
    </fill>
    <fill>
      <patternFill patternType="solid">
        <fgColor rgb="FFFFC7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1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2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1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1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2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6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6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2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2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2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0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3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8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2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7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12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8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11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81" fontId="11" fillId="11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27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0070C0"/>
      <rgbColor rgb="FFBFBFBF"/>
      <rgbColor rgb="FF808080"/>
      <rgbColor rgb="FF9999FF"/>
      <rgbColor rgb="FFAA433F"/>
      <rgbColor rgb="FFFFF2CC"/>
      <rgbColor rgb="FFDDEBF7"/>
      <rgbColor rgb="FF660066"/>
      <rgbColor rgb="FFCC8F8E"/>
      <rgbColor rgb="FF0563C1"/>
      <rgbColor rgb="FFD9D9D9"/>
      <rgbColor rgb="FF000080"/>
      <rgbColor rgb="FFFF00FF"/>
      <rgbColor rgb="FFF9F9F9"/>
      <rgbColor rgb="FF00FFFF"/>
      <rgbColor rgb="FF800080"/>
      <rgbColor rgb="FF800000"/>
      <rgbColor rgb="FF4F81BD"/>
      <rgbColor rgb="FF0000FF"/>
      <rgbColor rgb="FF00CCFF"/>
      <rgbColor rgb="FFE2EFDA"/>
      <rgbColor rgb="FFC6EFCE"/>
      <rgbColor rgb="FFFFE699"/>
      <rgbColor rgb="FFB3B3B3"/>
      <rgbColor rgb="FFF2F2F2"/>
      <rgbColor rgb="FFB8CD97"/>
      <rgbColor rgb="FFFFC7CE"/>
      <rgbColor rgb="FF2E75B6"/>
      <rgbColor rgb="FF33CCCC"/>
      <rgbColor rgb="FF98B855"/>
      <rgbColor rgb="FFFFCC00"/>
      <rgbColor rgb="FFFF9900"/>
      <rgbColor rgb="FFFF6600"/>
      <rgbColor rgb="FF666666"/>
      <rgbColor rgb="FF878787"/>
      <rgbColor rgb="FF1F3864"/>
      <rgbColor rgb="FF00B050"/>
      <rgbColor rgb="FF006100"/>
      <rgbColor rgb="FF333300"/>
      <rgbColor rgb="FF993300"/>
      <rgbColor rgb="FF993366"/>
      <rgbColor rgb="FF1F4E78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Precios implícitos por metodología (vs spot $408)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Resumen!$B$49:$B$56</c:f>
              <c:strCache>
                <c:ptCount val="8"/>
                <c:pt idx="0">
                  <c:v>1. DCF Gordon Growth</c:v>
                </c:pt>
                <c:pt idx="1">
                  <c:v>2. DCF H-Model (fade)</c:v>
                </c:pt>
                <c:pt idx="2">
                  <c:v>3. DCF Exit EV/EBITDA</c:v>
                </c:pt>
                <c:pt idx="3">
                  <c:v>4. DCF Exit EV/EBIT</c:v>
                </c:pt>
                <c:pt idx="4">
                  <c:v>5. DCF Exit EV/Revenue</c:v>
                </c:pt>
                <c:pt idx="5">
                  <c:v>6. NTM P/E × FY27E EPS</c:v>
                </c:pt>
                <c:pt idx="6">
                  <c:v>7. NTM EV/EBITDA × FY27E EBITDA</c:v>
                </c:pt>
                <c:pt idx="7">
                  <c:v>8. NTM EV/Revenue × FY27E Revenue</c:v>
                </c:pt>
              </c:strCache>
            </c:strRef>
          </c:cat>
          <c:val>
            <c:numRef>
              <c:f>Resumen!$C$49:$C$56</c:f>
              <c:numCache>
                <c:formatCode>\$#,##0.00</c:formatCode>
                <c:ptCount val="8"/>
                <c:pt idx="0">
                  <c:v>56.614972100662</c:v>
                </c:pt>
                <c:pt idx="1">
                  <c:v>41.4316479897445</c:v>
                </c:pt>
                <c:pt idx="2">
                  <c:v>47.9733602883619</c:v>
                </c:pt>
                <c:pt idx="3">
                  <c:v>55.0437760103878</c:v>
                </c:pt>
                <c:pt idx="4">
                  <c:v>28.0167012175228</c:v>
                </c:pt>
                <c:pt idx="5">
                  <c:v>63.0974709398092</c:v>
                </c:pt>
                <c:pt idx="6">
                  <c:v>43.9969623243712</c:v>
                </c:pt>
                <c:pt idx="7">
                  <c:v>17.6348560277537</c:v>
                </c:pt>
              </c:numCache>
            </c:numRef>
          </c:val>
        </c:ser>
        <c:gapWidth val="150"/>
        <c:overlap val="0"/>
        <c:axId val="88148186"/>
        <c:axId val="24184137"/>
      </c:barChart>
      <c:catAx>
        <c:axId val="88148186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Implied price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184137"/>
        <c:crosses val="autoZero"/>
        <c:auto val="1"/>
        <c:lblAlgn val="ctr"/>
        <c:lblOffset val="100"/>
        <c:noMultiLvlLbl val="0"/>
      </c:catAx>
      <c:valAx>
        <c:axId val="241841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14818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Capex absoluto FY21-FY25 + 9M FY26 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"Capex"</c:f>
              <c:strCache>
                <c:ptCount val="1"/>
                <c:pt idx="0">
                  <c:v>Capex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Historico!$C$4:$H$4</c:f>
              <c:multiLvlStrCache>
                <c:ptCount val="1"/>
                <c:lvl>
                  <c:pt idx="0">
                    <c:v>Q1 2026</c:v>
                  </c:pt>
                </c:lvl>
                <c:lvl>
                  <c:pt idx="0">
                    <c:v>FY2025</c:v>
                  </c:pt>
                </c:lvl>
                <c:lvl>
                  <c:pt idx="0">
                    <c:v>FY2024</c:v>
                  </c:pt>
                </c:lvl>
                <c:lvl>
                  <c:pt idx="0">
                    <c:v>FY2023</c:v>
                  </c:pt>
                </c:lvl>
                <c:lvl>
                  <c:pt idx="0">
                    <c:v>FY2022</c:v>
                  </c:pt>
                </c:lvl>
                <c:lvl>
                  <c:pt idx="0">
                    <c:v>FY2021</c:v>
                  </c:pt>
                </c:lvl>
              </c:multiLvlStrCache>
            </c:multiLvlStrRef>
          </c:cat>
          <c:val>
            <c:numRef>
              <c:f>Historico!$C$36:$H$36</c:f>
              <c:numCache>
                <c:formatCode>\$#,##0</c:formatCode>
                <c:ptCount val="6"/>
                <c:pt idx="0">
                  <c:v>1971</c:v>
                </c:pt>
                <c:pt idx="1">
                  <c:v>2517</c:v>
                </c:pt>
                <c:pt idx="2">
                  <c:v>3766</c:v>
                </c:pt>
                <c:pt idx="3">
                  <c:v>3713</c:v>
                </c:pt>
                <c:pt idx="4">
                  <c:v>3713</c:v>
                </c:pt>
                <c:pt idx="5">
                  <c:v>848</c:v>
                </c:pt>
              </c:numCache>
            </c:numRef>
          </c:val>
        </c:ser>
        <c:gapWidth val="150"/>
        <c:overlap val="0"/>
        <c:axId val="45158095"/>
        <c:axId val="2404855"/>
      </c:barChart>
      <c:catAx>
        <c:axId val="4515809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04855"/>
        <c:crosses val="autoZero"/>
        <c:auto val="1"/>
        <c:lblAlgn val="ctr"/>
        <c:lblOffset val="100"/>
        <c:noMultiLvlLbl val="0"/>
      </c:catAx>
      <c:valAx>
        <c:axId val="240485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15809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Capex / Revenue ratio (FY21-9M FY26)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"Capex / Revenue"</c:f>
              <c:strCache>
                <c:ptCount val="1"/>
                <c:pt idx="0">
                  <c:v>Capex / Revenue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Historico!$C$4:$H$4</c:f>
              <c:multiLvlStrCache>
                <c:ptCount val="1"/>
                <c:lvl>
                  <c:pt idx="0">
                    <c:v>Q1 2026</c:v>
                  </c:pt>
                </c:lvl>
                <c:lvl>
                  <c:pt idx="0">
                    <c:v>FY2025</c:v>
                  </c:pt>
                </c:lvl>
                <c:lvl>
                  <c:pt idx="0">
                    <c:v>FY2024</c:v>
                  </c:pt>
                </c:lvl>
                <c:lvl>
                  <c:pt idx="0">
                    <c:v>FY2023</c:v>
                  </c:pt>
                </c:lvl>
                <c:lvl>
                  <c:pt idx="0">
                    <c:v>FY2022</c:v>
                  </c:pt>
                </c:lvl>
                <c:lvl>
                  <c:pt idx="0">
                    <c:v>FY2021</c:v>
                  </c:pt>
                </c:lvl>
              </c:multiLvlStrCache>
            </c:multiLvlStrRef>
          </c:cat>
          <c:val>
            <c:numRef>
              <c:f>Historico!$C$37:$H$37</c:f>
              <c:numCache>
                <c:formatCode>0.0%</c:formatCode>
                <c:ptCount val="6"/>
                <c:pt idx="0">
                  <c:v>0.161477961658201</c:v>
                </c:pt>
                <c:pt idx="1">
                  <c:v>0.131305754082112</c:v>
                </c:pt>
                <c:pt idx="2">
                  <c:v>0.246821339625115</c:v>
                </c:pt>
                <c:pt idx="3">
                  <c:v>0.232965240306186</c:v>
                </c:pt>
                <c:pt idx="4">
                  <c:v>0.216022806609262</c:v>
                </c:pt>
                <c:pt idx="5">
                  <c:v>0.222747570265301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2626035"/>
        <c:axId val="90238522"/>
      </c:lineChart>
      <c:catAx>
        <c:axId val="226260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238522"/>
        <c:crosses val="autoZero"/>
        <c:auto val="1"/>
        <c:lblAlgn val="ctr"/>
        <c:lblOffset val="100"/>
        <c:noMultiLvlLbl val="0"/>
      </c:catAx>
      <c:valAx>
        <c:axId val="9023852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62603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Proyección de Revenue por segmento (FY26-FY30E)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"PBP"</c:f>
              <c:strCache>
                <c:ptCount val="1"/>
                <c:pt idx="0">
                  <c:v>PBP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Modelo!$C$4:$G$4</c:f>
              <c:multiLvlStrCache>
                <c:ptCount val="1"/>
                <c:lvl>
                  <c:pt idx="0">
                    <c:v>FY2030E</c:v>
                  </c:pt>
                </c:lvl>
                <c:lvl>
                  <c:pt idx="0">
                    <c:v>FY2029E</c:v>
                  </c:pt>
                </c:lvl>
                <c:lvl>
                  <c:pt idx="0">
                    <c:v>FY2028E</c:v>
                  </c:pt>
                </c:lvl>
                <c:lvl>
                  <c:pt idx="0">
                    <c:v>FY2027E</c:v>
                  </c:pt>
                </c:lvl>
                <c:lvl>
                  <c:pt idx="0">
                    <c:v>FY2026E</c:v>
                  </c:pt>
                </c:lvl>
              </c:multiLvlStrCache>
            </c:multiLvlStrRef>
          </c:cat>
          <c:val>
            <c:numRef>
              <c:f>Modelo!$C$7:$G$7</c:f>
              <c:numCache>
                <c:formatCode>\$#,##0</c:formatCode>
                <c:ptCount val="5"/>
                <c:pt idx="0">
                  <c:v>13795.3</c:v>
                </c:pt>
                <c:pt idx="1">
                  <c:v>13572.928</c:v>
                </c:pt>
                <c:pt idx="2">
                  <c:v>13694.872275</c:v>
                </c:pt>
                <c:pt idx="3">
                  <c:v>13747.043217</c:v>
                </c:pt>
                <c:pt idx="4">
                  <c:v>13953.248865255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"Intelligent Cloud"</c:f>
              <c:strCache>
                <c:ptCount val="1"/>
                <c:pt idx="0">
                  <c:v>Intelligent Cloud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Modelo!$C$4:$G$4</c:f>
              <c:multiLvlStrCache>
                <c:ptCount val="1"/>
                <c:lvl>
                  <c:pt idx="0">
                    <c:v>FY2030E</c:v>
                  </c:pt>
                </c:lvl>
                <c:lvl>
                  <c:pt idx="0">
                    <c:v>FY2029E</c:v>
                  </c:pt>
                </c:lvl>
                <c:lvl>
                  <c:pt idx="0">
                    <c:v>FY2028E</c:v>
                  </c:pt>
                </c:lvl>
                <c:lvl>
                  <c:pt idx="0">
                    <c:v>FY2027E</c:v>
                  </c:pt>
                </c:lvl>
                <c:lvl>
                  <c:pt idx="0">
                    <c:v>FY2026E</c:v>
                  </c:pt>
                </c:lvl>
              </c:multiLvlStrCache>
            </c:multiLvlStrRef>
          </c:cat>
          <c:val>
            <c:numRef>
              <c:f>Modelo!$C$9:$G$9</c:f>
              <c:numCache>
                <c:formatCode>\$#,##0.00</c:formatCode>
                <c:ptCount val="5"/>
                <c:pt idx="0">
                  <c:v>67</c:v>
                </c:pt>
                <c:pt idx="1">
                  <c:v>64</c:v>
                </c:pt>
                <c:pt idx="2">
                  <c:v>63</c:v>
                </c:pt>
                <c:pt idx="3">
                  <c:v>62</c:v>
                </c:pt>
                <c:pt idx="4">
                  <c:v>62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"MPC"</c:f>
              <c:strCache>
                <c:ptCount val="1"/>
                <c:pt idx="0">
                  <c:v>MPC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Modelo!$C$4:$G$4</c:f>
              <c:multiLvlStrCache>
                <c:ptCount val="1"/>
                <c:lvl>
                  <c:pt idx="0">
                    <c:v>FY2030E</c:v>
                  </c:pt>
                </c:lvl>
                <c:lvl>
                  <c:pt idx="0">
                    <c:v>FY2029E</c:v>
                  </c:pt>
                </c:lvl>
                <c:lvl>
                  <c:pt idx="0">
                    <c:v>FY2028E</c:v>
                  </c:pt>
                </c:lvl>
                <c:lvl>
                  <c:pt idx="0">
                    <c:v>FY2027E</c:v>
                  </c:pt>
                </c:lvl>
                <c:lvl>
                  <c:pt idx="0">
                    <c:v>FY2026E</c:v>
                  </c:pt>
                </c:lvl>
              </c:multiLvlStrCache>
            </c:multiLvlStrRef>
          </c:cat>
          <c:val>
            <c:numRef>
              <c:f>Modelo!$C$11:$G$11</c:f>
              <c:numCache>
                <c:formatCode>#,##0</c:formatCode>
                <c:ptCount val="5"/>
                <c:pt idx="0">
                  <c:v>117.45</c:v>
                </c:pt>
                <c:pt idx="1">
                  <c:v>122.148</c:v>
                </c:pt>
                <c:pt idx="2">
                  <c:v>125.81244</c:v>
                </c:pt>
                <c:pt idx="3">
                  <c:v>128.957751</c:v>
                </c:pt>
                <c:pt idx="4">
                  <c:v>131.53690602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6761993"/>
        <c:axId val="12129653"/>
      </c:lineChart>
      <c:catAx>
        <c:axId val="4676199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129653"/>
        <c:crosses val="autoZero"/>
        <c:auto val="1"/>
        <c:lblAlgn val="ctr"/>
        <c:lblOffset val="100"/>
        <c:noMultiLvlLbl val="0"/>
      </c:catAx>
      <c:valAx>
        <c:axId val="1212965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7619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FCFF vs Capex FY26-FY30E — el ciclo de capex AI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"Capex"</c:f>
              <c:strCache>
                <c:ptCount val="1"/>
                <c:pt idx="0">
                  <c:v>Capex</c:v>
                </c:pt>
              </c:strCache>
            </c:strRef>
          </c:tx>
          <c:spPr>
            <a:solidFill>
              <a:srgbClr val="8aa64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Modelo!$C$4:$G$4</c:f>
              <c:multiLvlStrCache>
                <c:ptCount val="1"/>
                <c:lvl>
                  <c:pt idx="0">
                    <c:v>FY2030E</c:v>
                  </c:pt>
                </c:lvl>
                <c:lvl>
                  <c:pt idx="0">
                    <c:v>FY2029E</c:v>
                  </c:pt>
                </c:lvl>
                <c:lvl>
                  <c:pt idx="0">
                    <c:v>FY2028E</c:v>
                  </c:pt>
                </c:lvl>
                <c:lvl>
                  <c:pt idx="0">
                    <c:v>FY2027E</c:v>
                  </c:pt>
                </c:lvl>
                <c:lvl>
                  <c:pt idx="0">
                    <c:v>FY2026E</c:v>
                  </c:pt>
                </c:lvl>
              </c:multiLvlStrCache>
            </c:multiLvlStrRef>
          </c:cat>
          <c:val>
            <c:numRef>
              <c:f>Modelo!$C$30:$G$30</c:f>
              <c:numCache>
                <c:formatCode>\$#,##0</c:formatCode>
                <c:ptCount val="5"/>
                <c:pt idx="0">
                  <c:v>5202.41592</c:v>
                </c:pt>
                <c:pt idx="1">
                  <c:v>6062.6153328</c:v>
                </c:pt>
                <c:pt idx="2">
                  <c:v>6427.080776571</c:v>
                </c:pt>
                <c:pt idx="3">
                  <c:v>6569.0141381358</c:v>
                </c:pt>
                <c:pt idx="4">
                  <c:v>6778.63641946066</c:v>
                </c:pt>
              </c:numCache>
            </c:numRef>
          </c:val>
        </c:ser>
        <c:ser>
          <c:idx val="1"/>
          <c:order val="1"/>
          <c:tx>
            <c:strRef>
              <c:f>"FCFF"</c:f>
              <c:strCache>
                <c:ptCount val="1"/>
                <c:pt idx="0">
                  <c:v>FCFF</c:v>
                </c:pt>
              </c:strCache>
            </c:strRef>
          </c:tx>
          <c:spPr>
            <a:solidFill>
              <a:srgbClr val="b8cd97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Modelo!$C$4:$G$4</c:f>
              <c:multiLvlStrCache>
                <c:ptCount val="1"/>
                <c:lvl>
                  <c:pt idx="0">
                    <c:v>FY2030E</c:v>
                  </c:pt>
                </c:lvl>
                <c:lvl>
                  <c:pt idx="0">
                    <c:v>FY2029E</c:v>
                  </c:pt>
                </c:lvl>
                <c:lvl>
                  <c:pt idx="0">
                    <c:v>FY2028E</c:v>
                  </c:pt>
                </c:lvl>
                <c:lvl>
                  <c:pt idx="0">
                    <c:v>FY2027E</c:v>
                  </c:pt>
                </c:lvl>
                <c:lvl>
                  <c:pt idx="0">
                    <c:v>FY2026E</c:v>
                  </c:pt>
                </c:lvl>
              </c:multiLvlStrCache>
            </c:multiLvlStrRef>
          </c:cat>
          <c:val>
            <c:numRef>
              <c:f>Modelo!$C$33:$G$33</c:f>
              <c:numCache>
                <c:formatCode>\$#,##0;"($"#,##0\)</c:formatCode>
                <c:ptCount val="5"/>
                <c:pt idx="0">
                  <c:v>-4393.4625</c:v>
                </c:pt>
                <c:pt idx="1">
                  <c:v>-4383.57172</c:v>
                </c:pt>
                <c:pt idx="2">
                  <c:v>-4437.933403725</c:v>
                </c:pt>
                <c:pt idx="3">
                  <c:v>-4524.0407040975</c:v>
                </c:pt>
                <c:pt idx="4">
                  <c:v>-4652.18685837037</c:v>
                </c:pt>
              </c:numCache>
            </c:numRef>
          </c:val>
        </c:ser>
        <c:gapWidth val="150"/>
        <c:overlap val="0"/>
        <c:axId val="24853072"/>
        <c:axId val="9620622"/>
      </c:barChart>
      <c:catAx>
        <c:axId val="2485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20622"/>
        <c:crosses val="autoZero"/>
        <c:auto val="1"/>
        <c:lblAlgn val="ctr"/>
        <c:lblOffset val="100"/>
        <c:noMultiLvlLbl val="0"/>
      </c:catAx>
      <c:valAx>
        <c:axId val="962062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8530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ROE GAAP vs ROIC Operativo (FY21-FY25 + 9M FY26)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"ROE GAAP"</c:f>
              <c:strCache>
                <c:ptCount val="1"/>
                <c:pt idx="0">
                  <c:v>ROE GAAP</c:v>
                </c:pt>
              </c:strCache>
            </c:strRef>
          </c:tx>
          <c:spPr>
            <a:solidFill>
              <a:srgbClr val="aa433f"/>
            </a:solidFill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DuPont_WC!$C$40:$H$40</c:f>
              <c:multiLvlStrCache>
                <c:ptCount val="1"/>
                <c:lvl>
                  <c:pt idx="0">
                    <c:v>Q1 2026</c:v>
                  </c:pt>
                </c:lvl>
                <c:lvl>
                  <c:pt idx="0">
                    <c:v>FY2025</c:v>
                  </c:pt>
                </c:lvl>
                <c:lvl>
                  <c:pt idx="0">
                    <c:v>FY2024</c:v>
                  </c:pt>
                </c:lvl>
                <c:lvl>
                  <c:pt idx="0">
                    <c:v>FY2023</c:v>
                  </c:pt>
                </c:lvl>
                <c:lvl>
                  <c:pt idx="0">
                    <c:v>FY2022</c:v>
                  </c:pt>
                </c:lvl>
                <c:lvl>
                  <c:pt idx="0">
                    <c:v>FY2021</c:v>
                  </c:pt>
                </c:lvl>
              </c:multiLvlStrCache>
            </c:multiLvlStrRef>
          </c:cat>
          <c:val>
            <c:numRef>
              <c:f>DuPont_WC!$C$28:$H$28</c:f>
              <c:numCache>
                <c:formatCode>0.0%</c:formatCode>
                <c:ptCount val="6"/>
                <c:pt idx="0">
                  <c:v>0.391346688925988</c:v>
                </c:pt>
                <c:pt idx="1">
                  <c:v>0.694412375894713</c:v>
                </c:pt>
                <c:pt idx="2">
                  <c:v>0.406663772520078</c:v>
                </c:pt>
                <c:pt idx="3">
                  <c:v>0.206677151844438</c:v>
                </c:pt>
                <c:pt idx="4">
                  <c:v>0.170144255538382</c:v>
                </c:pt>
                <c:pt idx="5">
                  <c:v>0.0077780658542909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"ROIC operativo (NOPAT/IC)"</c:f>
              <c:strCache>
                <c:ptCount val="1"/>
                <c:pt idx="0">
                  <c:v>ROIC operativo (NOPAT/IC)</c:v>
                </c:pt>
              </c:strCache>
            </c:strRef>
          </c:tx>
          <c:spPr>
            <a:solidFill>
              <a:srgbClr val="cc8f8e"/>
            </a:solidFill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DuPont_WC!$C$40:$H$40</c:f>
              <c:multiLvlStrCache>
                <c:ptCount val="1"/>
                <c:lvl>
                  <c:pt idx="0">
                    <c:v>Q1 2026</c:v>
                  </c:pt>
                </c:lvl>
                <c:lvl>
                  <c:pt idx="0">
                    <c:v>FY2025</c:v>
                  </c:pt>
                </c:lvl>
                <c:lvl>
                  <c:pt idx="0">
                    <c:v>FY2024</c:v>
                  </c:pt>
                </c:lvl>
                <c:lvl>
                  <c:pt idx="0">
                    <c:v>FY2023</c:v>
                  </c:pt>
                </c:lvl>
                <c:lvl>
                  <c:pt idx="0">
                    <c:v>FY2022</c:v>
                  </c:pt>
                </c:lvl>
                <c:lvl>
                  <c:pt idx="0">
                    <c:v>FY2021</c:v>
                  </c:pt>
                </c:lvl>
              </c:multiLvlStrCache>
            </c:multiLvlStrRef>
          </c:cat>
          <c:val>
            <c:numRef>
              <c:f>DuPont_WC!$C$35:$H$35</c:f>
              <c:numCache>
                <c:formatCode>0.0%</c:formatCode>
                <c:ptCount val="6"/>
                <c:pt idx="0">
                  <c:v>0.525505300847088</c:v>
                </c:pt>
                <c:pt idx="1">
                  <c:v>0.744138616398243</c:v>
                </c:pt>
                <c:pt idx="2">
                  <c:v>0.344611595803424</c:v>
                </c:pt>
                <c:pt idx="3">
                  <c:v>0.210870143492871</c:v>
                </c:pt>
                <c:pt idx="4">
                  <c:v>0.130676253169061</c:v>
                </c:pt>
                <c:pt idx="5">
                  <c:v>0.00903666075730715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8489185"/>
        <c:axId val="25395177"/>
      </c:lineChart>
      <c:catAx>
        <c:axId val="9848918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395177"/>
        <c:crosses val="autoZero"/>
        <c:auto val="1"/>
        <c:lblAlgn val="ctr"/>
        <c:lblOffset val="100"/>
        <c:noMultiLvlLbl val="0"/>
      </c:catAx>
      <c:valAx>
        <c:axId val="253951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4891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Operating margin trend (FY21-FY25 + 9M FY26)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"Operating margin"</c:f>
              <c:strCache>
                <c:ptCount val="1"/>
                <c:pt idx="0">
                  <c:v>Operating margin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DuPont_WC!$C$40:$H$40</c:f>
              <c:multiLvlStrCache>
                <c:ptCount val="1"/>
                <c:lvl>
                  <c:pt idx="0">
                    <c:v>Q1 2026</c:v>
                  </c:pt>
                </c:lvl>
                <c:lvl>
                  <c:pt idx="0">
                    <c:v>FY2025</c:v>
                  </c:pt>
                </c:lvl>
                <c:lvl>
                  <c:pt idx="0">
                    <c:v>FY2024</c:v>
                  </c:pt>
                </c:lvl>
                <c:lvl>
                  <c:pt idx="0">
                    <c:v>FY2023</c:v>
                  </c:pt>
                </c:lvl>
                <c:lvl>
                  <c:pt idx="0">
                    <c:v>FY2022</c:v>
                  </c:pt>
                </c:lvl>
                <c:lvl>
                  <c:pt idx="0">
                    <c:v>FY2021</c:v>
                  </c:pt>
                </c:lvl>
              </c:multiLvlStrCache>
            </c:multiLvlStrRef>
          </c:cat>
          <c:val>
            <c:numRef>
              <c:f>DuPont_WC!$C$24:$H$24</c:f>
              <c:numCache>
                <c:formatCode>0.0%</c:formatCode>
                <c:ptCount val="6"/>
                <c:pt idx="0">
                  <c:v>0.543011633622809</c:v>
                </c:pt>
                <c:pt idx="1">
                  <c:v>0.602796181334446</c:v>
                </c:pt>
                <c:pt idx="2">
                  <c:v>0.386420238563377</c:v>
                </c:pt>
                <c:pt idx="3">
                  <c:v>0.333103275191367</c:v>
                </c:pt>
                <c:pt idx="4">
                  <c:v>0.22306260181522</c:v>
                </c:pt>
                <c:pt idx="5">
                  <c:v>0.0722353559232992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1032080"/>
        <c:axId val="70231805"/>
      </c:lineChart>
      <c:catAx>
        <c:axId val="810320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231805"/>
        <c:crosses val="autoZero"/>
        <c:auto val="1"/>
        <c:lblAlgn val="ctr"/>
        <c:lblOffset val="100"/>
        <c:noMultiLvlLbl val="0"/>
      </c:catAx>
      <c:valAx>
        <c:axId val="70231805"/>
        <c:scaling>
          <c:orientation val="minMax"/>
          <c:max val="0.5"/>
          <c:min val="0.3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03208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Base case vs Implícito en spot $408 — cada variable, ceteris paribus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"Base case"</c:f>
              <c:strCache>
                <c:ptCount val="1"/>
                <c:pt idx="0">
                  <c:v>Base case</c:v>
                </c:pt>
              </c:strCache>
            </c:strRef>
          </c:tx>
          <c:spPr>
            <a:solidFill>
              <a:srgbClr val="8aa64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Reverse_DCF!$B$60:$B$64</c:f>
              <c:strCache>
                <c:ptCount val="5"/>
                <c:pt idx="0">
                  <c:v>Terminal g (perpetuidad)</c:v>
                </c:pt>
                <c:pt idx="1">
                  <c:v>WACC</c:v>
                </c:pt>
                <c:pt idx="2">
                  <c:v>EBIT margin FY30E</c:v>
                </c:pt>
                <c:pt idx="3">
                  <c:v>Capex/Rev terminal</c:v>
                </c:pt>
                <c:pt idx="4">
                  <c:v>Revenue CAGR FY25→FY30</c:v>
                </c:pt>
              </c:strCache>
            </c:strRef>
          </c:cat>
          <c:val>
            <c:numRef>
              <c:f>Reverse_DCF!$C$60:$C$64</c:f>
              <c:numCache>
                <c:formatCode>0.0%</c:formatCode>
                <c:ptCount val="5"/>
                <c:pt idx="0">
                  <c:v>0.02</c:v>
                </c:pt>
                <c:pt idx="1">
                  <c:v>0.0891183867568306</c:v>
                </c:pt>
                <c:pt idx="2">
                  <c:v>0.401632684152815</c:v>
                </c:pt>
                <c:pt idx="3">
                  <c:v>0.22</c:v>
                </c:pt>
                <c:pt idx="4">
                  <c:v>0.0471253389862056</c:v>
                </c:pt>
              </c:numCache>
            </c:numRef>
          </c:val>
        </c:ser>
        <c:ser>
          <c:idx val="1"/>
          <c:order val="1"/>
          <c:tx>
            <c:strRef>
              <c:f>"Implícito spot"</c:f>
              <c:strCache>
                <c:ptCount val="1"/>
                <c:pt idx="0">
                  <c:v>Implícito spot</c:v>
                </c:pt>
              </c:strCache>
            </c:strRef>
          </c:tx>
          <c:spPr>
            <a:solidFill>
              <a:srgbClr val="b8cd9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Reverse_DCF!$B$60:$B$64</c:f>
              <c:strCache>
                <c:ptCount val="5"/>
                <c:pt idx="0">
                  <c:v>Terminal g (perpetuidad)</c:v>
                </c:pt>
                <c:pt idx="1">
                  <c:v>WACC</c:v>
                </c:pt>
                <c:pt idx="2">
                  <c:v>EBIT margin FY30E</c:v>
                </c:pt>
                <c:pt idx="3">
                  <c:v>Capex/Rev terminal</c:v>
                </c:pt>
                <c:pt idx="4">
                  <c:v>Revenue CAGR FY25→FY30</c:v>
                </c:pt>
              </c:strCache>
            </c:strRef>
          </c:cat>
          <c:val>
            <c:numRef>
              <c:f>Reverse_DCF!$D$60:$D$64</c:f>
              <c:numCache>
                <c:formatCode>0.0%</c:formatCode>
                <c:ptCount val="5"/>
                <c:pt idx="0">
                  <c:v>0.0118963873899882</c:v>
                </c:pt>
                <c:pt idx="1">
                  <c:v>0.0973879048768485</c:v>
                </c:pt>
                <c:pt idx="2">
                  <c:v>0.365248915100808</c:v>
                </c:pt>
                <c:pt idx="3">
                  <c:v>0.243379339860565</c:v>
                </c:pt>
                <c:pt idx="4">
                  <c:v>0.0294646145987814</c:v>
                </c:pt>
              </c:numCache>
            </c:numRef>
          </c:val>
        </c:ser>
        <c:gapWidth val="150"/>
        <c:overlap val="0"/>
        <c:axId val="79343990"/>
        <c:axId val="85262481"/>
      </c:barChart>
      <c:catAx>
        <c:axId val="7934399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262481"/>
        <c:crosses val="autoZero"/>
        <c:auto val="1"/>
        <c:lblAlgn val="ctr"/>
        <c:lblOffset val="100"/>
        <c:noMultiLvlLbl val="0"/>
      </c:catAx>
      <c:valAx>
        <c:axId val="852624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3439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40</xdr:row>
      <xdr:rowOff>142920</xdr:rowOff>
    </xdr:from>
    <xdr:to>
      <xdr:col>12</xdr:col>
      <xdr:colOff>58320</xdr:colOff>
      <xdr:row>49</xdr:row>
      <xdr:rowOff>258480</xdr:rowOff>
    </xdr:to>
    <xdr:graphicFrame>
      <xdr:nvGraphicFramePr>
        <xdr:cNvPr id="0" name="Chart 1"/>
        <xdr:cNvGraphicFramePr/>
      </xdr:nvGraphicFramePr>
      <xdr:xfrm>
        <a:off x="5920920" y="9468000"/>
        <a:ext cx="6474240" cy="3906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4</xdr:row>
      <xdr:rowOff>0</xdr:rowOff>
    </xdr:from>
    <xdr:to>
      <xdr:col>18</xdr:col>
      <xdr:colOff>252720</xdr:colOff>
      <xdr:row>18</xdr:row>
      <xdr:rowOff>171360</xdr:rowOff>
    </xdr:to>
    <xdr:graphicFrame>
      <xdr:nvGraphicFramePr>
        <xdr:cNvPr id="1" name="Chart 1"/>
        <xdr:cNvGraphicFramePr/>
      </xdr:nvGraphicFramePr>
      <xdr:xfrm>
        <a:off x="12475800" y="847800"/>
        <a:ext cx="5756400" cy="2876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24</xdr:row>
      <xdr:rowOff>0</xdr:rowOff>
    </xdr:from>
    <xdr:to>
      <xdr:col>18</xdr:col>
      <xdr:colOff>252720</xdr:colOff>
      <xdr:row>37</xdr:row>
      <xdr:rowOff>1800</xdr:rowOff>
    </xdr:to>
    <xdr:graphicFrame>
      <xdr:nvGraphicFramePr>
        <xdr:cNvPr id="2" name="Chart 2"/>
        <xdr:cNvGraphicFramePr/>
      </xdr:nvGraphicFramePr>
      <xdr:xfrm>
        <a:off x="12475800" y="4695840"/>
        <a:ext cx="5756400" cy="2516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51</xdr:row>
      <xdr:rowOff>0</xdr:rowOff>
    </xdr:from>
    <xdr:to>
      <xdr:col>15</xdr:col>
      <xdr:colOff>540000</xdr:colOff>
      <xdr:row>67</xdr:row>
      <xdr:rowOff>188280</xdr:rowOff>
    </xdr:to>
    <xdr:graphicFrame>
      <xdr:nvGraphicFramePr>
        <xdr:cNvPr id="3" name="Chart 1"/>
        <xdr:cNvGraphicFramePr/>
      </xdr:nvGraphicFramePr>
      <xdr:xfrm>
        <a:off x="10713600" y="9801360"/>
        <a:ext cx="5756040" cy="3236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71</xdr:row>
      <xdr:rowOff>0</xdr:rowOff>
    </xdr:from>
    <xdr:to>
      <xdr:col>15</xdr:col>
      <xdr:colOff>540000</xdr:colOff>
      <xdr:row>87</xdr:row>
      <xdr:rowOff>187920</xdr:rowOff>
    </xdr:to>
    <xdr:graphicFrame>
      <xdr:nvGraphicFramePr>
        <xdr:cNvPr id="4" name="Chart 2"/>
        <xdr:cNvGraphicFramePr/>
      </xdr:nvGraphicFramePr>
      <xdr:xfrm>
        <a:off x="10713600" y="13611240"/>
        <a:ext cx="5756040" cy="3236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5</xdr:row>
      <xdr:rowOff>0</xdr:rowOff>
    </xdr:from>
    <xdr:to>
      <xdr:col>19</xdr:col>
      <xdr:colOff>250560</xdr:colOff>
      <xdr:row>21</xdr:row>
      <xdr:rowOff>186120</xdr:rowOff>
    </xdr:to>
    <xdr:graphicFrame>
      <xdr:nvGraphicFramePr>
        <xdr:cNvPr id="5" name="Chart 1"/>
        <xdr:cNvGraphicFramePr/>
      </xdr:nvGraphicFramePr>
      <xdr:xfrm>
        <a:off x="13862520" y="1066680"/>
        <a:ext cx="5754240" cy="3234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25</xdr:row>
      <xdr:rowOff>0</xdr:rowOff>
    </xdr:from>
    <xdr:to>
      <xdr:col>19</xdr:col>
      <xdr:colOff>250560</xdr:colOff>
      <xdr:row>38</xdr:row>
      <xdr:rowOff>37800</xdr:rowOff>
    </xdr:to>
    <xdr:graphicFrame>
      <xdr:nvGraphicFramePr>
        <xdr:cNvPr id="6" name="Chart 2"/>
        <xdr:cNvGraphicFramePr/>
      </xdr:nvGraphicFramePr>
      <xdr:xfrm>
        <a:off x="13862520" y="4876920"/>
        <a:ext cx="5754240" cy="2514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4</xdr:row>
      <xdr:rowOff>0</xdr:rowOff>
    </xdr:from>
    <xdr:to>
      <xdr:col>17</xdr:col>
      <xdr:colOff>610560</xdr:colOff>
      <xdr:row>21</xdr:row>
      <xdr:rowOff>184320</xdr:rowOff>
    </xdr:to>
    <xdr:graphicFrame>
      <xdr:nvGraphicFramePr>
        <xdr:cNvPr id="7" name="Chart 1"/>
        <xdr:cNvGraphicFramePr/>
      </xdr:nvGraphicFramePr>
      <xdr:xfrm>
        <a:off x="12593880" y="895320"/>
        <a:ext cx="6114240" cy="3594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www.sec.gov/Archives/edgar/data/789019/000095017025100235/msft-20250630.htm" TargetMode="External"/><Relationship Id="rId2" Type="http://schemas.openxmlformats.org/officeDocument/2006/relationships/hyperlink" Target="https://www.sec.gov/Archives/edgar/data/0000789019/000119312526191507/msft-20260331.htm" TargetMode="External"/><Relationship Id="rId3" Type="http://schemas.openxmlformats.org/officeDocument/2006/relationships/hyperlink" Target="https://www.microsoft.com/en-us/investor/earnings/fy-2026-q3/press-release-webcast" TargetMode="External"/><Relationship Id="rId4" Type="http://schemas.openxmlformats.org/officeDocument/2006/relationships/hyperlink" Target="https://www.sec.gov/Archives/edgar/data/789019/000095017024087843/msft-20240630.htm" TargetMode="External"/><Relationship Id="rId5" Type="http://schemas.openxmlformats.org/officeDocument/2006/relationships/hyperlink" Target="https://www.sec.gov/Archives/edgar/data/789019/000095017023035122/msft-20230630.htm" TargetMode="External"/><Relationship Id="rId6" Type="http://schemas.openxmlformats.org/officeDocument/2006/relationships/hyperlink" Target="https://www.sec.gov/Archives/edgar/data/789019/000156459022026876/msft-10k_20220630.htm" TargetMode="External"/><Relationship Id="rId7" Type="http://schemas.openxmlformats.org/officeDocument/2006/relationships/hyperlink" Target="https://www.sec.gov/Archives/edgar/data/789019/000156459021039151/msft-10k_20210630.htm" TargetMode="External"/><Relationship Id="rId8" Type="http://schemas.openxmlformats.org/officeDocument/2006/relationships/hyperlink" Target="https://fred.stlouisfed.org/series/DGS10" TargetMode="External"/><Relationship Id="rId9" Type="http://schemas.openxmlformats.org/officeDocument/2006/relationships/hyperlink" Target="https://pages.stern.nyu.edu/~adamodar/" TargetMode="External"/><Relationship Id="rId10" Type="http://schemas.openxmlformats.org/officeDocument/2006/relationships/hyperlink" Target="https://finance.yahoo.com/quote/MSFT" TargetMode="External"/><Relationship Id="rId11" Type="http://schemas.openxmlformats.org/officeDocument/2006/relationships/hyperlink" Target="https://finance.yahoo.com/quote/MSFT/history" TargetMode="External"/><Relationship Id="rId12" Type="http://schemas.openxmlformats.org/officeDocument/2006/relationships/hyperlink" Target="https://pages.stern.nyu.edu/~adamodar/New_Home_Page/datafile/Betas.html" TargetMode="External"/><Relationship Id="rId13" Type="http://schemas.openxmlformats.org/officeDocument/2006/relationships/hyperlink" Target="https://abc.xyz/investor/" TargetMode="External"/><Relationship Id="rId14" Type="http://schemas.openxmlformats.org/officeDocument/2006/relationships/hyperlink" Target="https://ir.aboutamazon.com/" TargetMode="External"/><Relationship Id="rId15" Type="http://schemas.openxmlformats.org/officeDocument/2006/relationships/hyperlink" Target="https://investor.oracle.com/" TargetMode="External"/><Relationship Id="rId16" Type="http://schemas.openxmlformats.org/officeDocument/2006/relationships/hyperlink" Target="https://www.sec.gov/cgi-bin/browse-edgar?action=getcompany&amp;CIK=0001336528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3" min="3" style="1" width="18"/>
    <col collapsed="false" customWidth="true" hidden="false" outlineLevel="0" max="4" min="4" style="1" width="4"/>
    <col collapsed="false" customWidth="true" hidden="false" outlineLevel="0" max="5" min="5" style="1" width="30"/>
    <col collapsed="false" customWidth="true" hidden="false" outlineLevel="0" max="6" min="6" style="1" width="18"/>
    <col collapsed="false" customWidth="true" hidden="false" outlineLevel="0" max="7" min="7" style="1" width="4"/>
    <col collapsed="false" customWidth="true" hidden="false" outlineLevel="0" max="8" min="8" style="1" width="25"/>
    <col collapsed="false" customWidth="true" hidden="false" outlineLevel="0" max="9" min="9" style="1" width="18"/>
  </cols>
  <sheetData>
    <row r="2" customFormat="false" ht="27.7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  <c r="G3" s="3"/>
      <c r="H3" s="3"/>
      <c r="I3" s="3"/>
    </row>
    <row r="5" customFormat="false" ht="19.5" hidden="false" customHeight="true" outlineLevel="0" collapsed="false">
      <c r="B5" s="4" t="s">
        <v>2</v>
      </c>
      <c r="C5" s="4"/>
      <c r="D5" s="4"/>
      <c r="E5" s="4"/>
      <c r="F5" s="4"/>
      <c r="G5" s="4"/>
      <c r="H5" s="4"/>
      <c r="I5" s="4"/>
    </row>
    <row r="6" customFormat="false" ht="15" hidden="false" customHeight="true" outlineLevel="0" collapsed="false">
      <c r="B6" s="5" t="s">
        <v>3</v>
      </c>
      <c r="C6" s="6" t="s">
        <v>4</v>
      </c>
      <c r="E6" s="5" t="s">
        <v>5</v>
      </c>
      <c r="F6" s="7" t="n">
        <f aca="false">Hipotesis!$C$6</f>
        <v>49.49</v>
      </c>
    </row>
    <row r="7" customFormat="false" ht="15" hidden="false" customHeight="true" outlineLevel="0" collapsed="false">
      <c r="B7" s="5" t="s">
        <v>6</v>
      </c>
      <c r="C7" s="6" t="s">
        <v>7</v>
      </c>
      <c r="E7" s="5" t="s">
        <v>8</v>
      </c>
      <c r="F7" s="8" t="n">
        <f aca="false">Hipotesis!$C$21/1000</f>
        <v>57.06197</v>
      </c>
    </row>
    <row r="8" customFormat="false" ht="15" hidden="false" customHeight="true" outlineLevel="0" collapsed="false">
      <c r="B8" s="5" t="s">
        <v>9</v>
      </c>
      <c r="C8" s="6" t="s">
        <v>10</v>
      </c>
      <c r="E8" s="5" t="s">
        <v>11</v>
      </c>
      <c r="F8" s="8" t="n">
        <f aca="false">(Hipotesis!$C$21+Hipotesis!$C$14-Hipotesis!$C$15)/1000</f>
        <v>67.33197</v>
      </c>
    </row>
    <row r="9" customFormat="false" ht="15" hidden="false" customHeight="true" outlineLevel="0" collapsed="false">
      <c r="B9" s="5" t="s">
        <v>12</v>
      </c>
      <c r="C9" s="6" t="s">
        <v>13</v>
      </c>
      <c r="E9" s="5" t="s">
        <v>14</v>
      </c>
      <c r="F9" s="9" t="n">
        <f aca="false">Hipotesis!$C$8</f>
        <v>1153</v>
      </c>
    </row>
    <row r="10" customFormat="false" ht="15" hidden="false" customHeight="true" outlineLevel="0" collapsed="false">
      <c r="B10" s="5" t="s">
        <v>15</v>
      </c>
      <c r="C10" s="6" t="s">
        <v>16</v>
      </c>
      <c r="E10" s="5" t="s">
        <v>17</v>
      </c>
      <c r="F10" s="10" t="s">
        <v>18</v>
      </c>
    </row>
    <row r="11" customFormat="false" ht="23.25" hidden="false" customHeight="true" outlineLevel="0" collapsed="false">
      <c r="B11" s="5" t="s">
        <v>19</v>
      </c>
      <c r="C11" s="6" t="s">
        <v>20</v>
      </c>
      <c r="E11" s="5" t="s">
        <v>21</v>
      </c>
      <c r="F11" s="10" t="s">
        <v>22</v>
      </c>
    </row>
    <row r="12" customFormat="false" ht="15" hidden="false" customHeight="true" outlineLevel="0" collapsed="false">
      <c r="B12" s="5" t="s">
        <v>23</v>
      </c>
      <c r="C12" s="6" t="s">
        <v>24</v>
      </c>
      <c r="E12" s="5" t="s">
        <v>25</v>
      </c>
      <c r="F12" s="10" t="s">
        <v>26</v>
      </c>
    </row>
    <row r="13" customFormat="false" ht="15" hidden="false" customHeight="true" outlineLevel="0" collapsed="false">
      <c r="B13" s="5" t="s">
        <v>27</v>
      </c>
      <c r="C13" s="6" t="s">
        <v>28</v>
      </c>
      <c r="E13" s="5" t="s">
        <v>29</v>
      </c>
      <c r="F13" s="10" t="s">
        <v>30</v>
      </c>
    </row>
    <row r="14" customFormat="false" ht="15" hidden="false" customHeight="true" outlineLevel="0" collapsed="false">
      <c r="B14" s="5" t="s">
        <v>31</v>
      </c>
      <c r="C14" s="6" t="s">
        <v>32</v>
      </c>
      <c r="E14" s="5" t="s">
        <v>33</v>
      </c>
      <c r="F14" s="11" t="n">
        <f aca="false">Hipotesis!$C$11</f>
        <v>1.2</v>
      </c>
    </row>
    <row r="15" customFormat="false" ht="23.25" hidden="false" customHeight="true" outlineLevel="0" collapsed="false">
      <c r="B15" s="5" t="s">
        <v>34</v>
      </c>
      <c r="C15" s="6" t="s">
        <v>35</v>
      </c>
      <c r="E15" s="5" t="s">
        <v>36</v>
      </c>
      <c r="F15" s="10" t="s">
        <v>37</v>
      </c>
    </row>
    <row r="17" customFormat="false" ht="19.5" hidden="false" customHeight="true" outlineLevel="0" collapsed="false">
      <c r="B17" s="4" t="s">
        <v>38</v>
      </c>
      <c r="C17" s="4"/>
      <c r="D17" s="4"/>
      <c r="E17" s="4"/>
      <c r="F17" s="4"/>
      <c r="G17" s="4"/>
      <c r="H17" s="4"/>
      <c r="I17" s="4"/>
    </row>
    <row r="18" customFormat="false" ht="15" hidden="false" customHeight="true" outlineLevel="0" collapsed="false">
      <c r="B18" s="5" t="s">
        <v>39</v>
      </c>
      <c r="C18" s="6" t="s">
        <v>40</v>
      </c>
      <c r="E18" s="12" t="s">
        <v>41</v>
      </c>
      <c r="F18" s="12"/>
      <c r="G18" s="12"/>
      <c r="H18" s="12"/>
      <c r="I18" s="12"/>
    </row>
    <row r="19" customFormat="false" ht="15" hidden="false" customHeight="true" outlineLevel="0" collapsed="false">
      <c r="B19" s="5" t="s">
        <v>42</v>
      </c>
      <c r="C19" s="6" t="s">
        <v>43</v>
      </c>
      <c r="E19" s="12" t="s">
        <v>44</v>
      </c>
      <c r="F19" s="12"/>
      <c r="G19" s="12"/>
      <c r="H19" s="12"/>
      <c r="I19" s="12"/>
    </row>
    <row r="20" customFormat="false" ht="15" hidden="false" customHeight="true" outlineLevel="0" collapsed="false">
      <c r="B20" s="5" t="s">
        <v>45</v>
      </c>
      <c r="C20" s="6" t="s">
        <v>46</v>
      </c>
      <c r="E20" s="12" t="s">
        <v>47</v>
      </c>
      <c r="F20" s="12"/>
      <c r="G20" s="12"/>
      <c r="H20" s="12"/>
      <c r="I20" s="12"/>
    </row>
    <row r="21" customFormat="false" ht="15" hidden="false" customHeight="true" outlineLevel="0" collapsed="false">
      <c r="B21" s="5" t="s">
        <v>48</v>
      </c>
      <c r="C21" s="6" t="s">
        <v>49</v>
      </c>
      <c r="E21" s="12" t="s">
        <v>50</v>
      </c>
      <c r="F21" s="12"/>
      <c r="G21" s="12"/>
      <c r="H21" s="12"/>
      <c r="I21" s="12"/>
    </row>
    <row r="22" customFormat="false" ht="15" hidden="false" customHeight="true" outlineLevel="0" collapsed="false">
      <c r="B22" s="5" t="s">
        <v>51</v>
      </c>
      <c r="C22" s="6" t="s">
        <v>52</v>
      </c>
      <c r="E22" s="12" t="s">
        <v>53</v>
      </c>
      <c r="F22" s="12"/>
      <c r="G22" s="12"/>
      <c r="H22" s="12"/>
      <c r="I22" s="12"/>
    </row>
    <row r="23" customFormat="false" ht="15" hidden="false" customHeight="true" outlineLevel="0" collapsed="false">
      <c r="B23" s="5" t="s">
        <v>54</v>
      </c>
      <c r="C23" s="6" t="s">
        <v>55</v>
      </c>
      <c r="E23" s="12" t="s">
        <v>56</v>
      </c>
      <c r="F23" s="12"/>
      <c r="G23" s="12"/>
      <c r="H23" s="12"/>
      <c r="I23" s="12"/>
    </row>
    <row r="24" customFormat="false" ht="15" hidden="false" customHeight="true" outlineLevel="0" collapsed="false">
      <c r="B24" s="5" t="s">
        <v>57</v>
      </c>
      <c r="C24" s="6" t="s">
        <v>58</v>
      </c>
      <c r="E24" s="1" t="s">
        <v>59</v>
      </c>
    </row>
    <row r="25" customFormat="false" ht="15" hidden="false" customHeight="true" outlineLevel="0" collapsed="false">
      <c r="B25" s="5" t="s">
        <v>60</v>
      </c>
      <c r="C25" s="6" t="s">
        <v>61</v>
      </c>
      <c r="E25" s="1" t="s">
        <v>62</v>
      </c>
    </row>
    <row r="26" customFormat="false" ht="15" hidden="false" customHeight="true" outlineLevel="0" collapsed="false">
      <c r="B26" s="5" t="s">
        <v>63</v>
      </c>
      <c r="C26" s="6" t="s">
        <v>64</v>
      </c>
      <c r="E26" s="12" t="s">
        <v>65</v>
      </c>
      <c r="F26" s="12"/>
      <c r="G26" s="12"/>
      <c r="H26" s="12"/>
      <c r="I26" s="12"/>
    </row>
    <row r="27" customFormat="false" ht="15" hidden="false" customHeight="true" outlineLevel="0" collapsed="false">
      <c r="B27" s="13" t="s">
        <v>66</v>
      </c>
      <c r="C27" s="6" t="s">
        <v>67</v>
      </c>
      <c r="E27" s="12" t="s">
        <v>68</v>
      </c>
      <c r="F27" s="12"/>
      <c r="G27" s="12"/>
      <c r="H27" s="12"/>
      <c r="I27" s="12"/>
    </row>
    <row r="28" customFormat="false" ht="15" hidden="false" customHeight="true" outlineLevel="0" collapsed="false">
      <c r="B28" s="5" t="s">
        <v>69</v>
      </c>
      <c r="C28" s="6" t="s">
        <v>70</v>
      </c>
      <c r="E28" s="12" t="s">
        <v>71</v>
      </c>
      <c r="F28" s="12"/>
      <c r="G28" s="12"/>
      <c r="H28" s="12"/>
      <c r="I28" s="12"/>
    </row>
    <row r="29" customFormat="false" ht="15" hidden="false" customHeight="true" outlineLevel="0" collapsed="false">
      <c r="B29" s="5" t="s">
        <v>72</v>
      </c>
      <c r="C29" s="6" t="s">
        <v>73</v>
      </c>
      <c r="E29" s="12" t="s">
        <v>74</v>
      </c>
      <c r="F29" s="12"/>
      <c r="G29" s="12"/>
      <c r="H29" s="12"/>
      <c r="I29" s="12"/>
    </row>
    <row r="30" customFormat="false" ht="15" hidden="false" customHeight="true" outlineLevel="0" collapsed="false">
      <c r="B30" s="5" t="s">
        <v>75</v>
      </c>
      <c r="C30" s="6" t="s">
        <v>76</v>
      </c>
      <c r="E30" s="1" t="s">
        <v>77</v>
      </c>
    </row>
    <row r="31" customFormat="false" ht="15" hidden="false" customHeight="true" outlineLevel="0" collapsed="false">
      <c r="B31" s="5" t="s">
        <v>78</v>
      </c>
      <c r="C31" s="6" t="s">
        <v>76</v>
      </c>
      <c r="E31" s="1" t="s">
        <v>79</v>
      </c>
    </row>
    <row r="33" customFormat="false" ht="19.5" hidden="false" customHeight="true" outlineLevel="0" collapsed="false">
      <c r="B33" s="4" t="s">
        <v>80</v>
      </c>
      <c r="C33" s="4"/>
      <c r="D33" s="4"/>
      <c r="E33" s="4"/>
      <c r="F33" s="4"/>
      <c r="G33" s="4"/>
      <c r="H33" s="4"/>
      <c r="I33" s="4"/>
    </row>
    <row r="34" customFormat="false" ht="23.25" hidden="false" customHeight="true" outlineLevel="0" collapsed="false">
      <c r="B34" s="14" t="s">
        <v>81</v>
      </c>
      <c r="C34" s="15" t="s">
        <v>82</v>
      </c>
      <c r="D34" s="15" t="s">
        <v>83</v>
      </c>
      <c r="E34" s="15" t="s">
        <v>84</v>
      </c>
      <c r="F34" s="15" t="s">
        <v>85</v>
      </c>
      <c r="G34" s="15" t="s">
        <v>86</v>
      </c>
    </row>
    <row r="35" customFormat="false" ht="34.5" hidden="false" customHeight="true" outlineLevel="0" collapsed="false">
      <c r="B35" s="5" t="s">
        <v>87</v>
      </c>
      <c r="C35" s="16" t="n">
        <v>12206</v>
      </c>
      <c r="D35" s="16" t="n">
        <v>19169</v>
      </c>
      <c r="E35" s="16" t="n">
        <v>15258</v>
      </c>
      <c r="F35" s="16" t="n">
        <v>15938</v>
      </c>
      <c r="G35" s="16" t="n">
        <v>17188</v>
      </c>
    </row>
    <row r="36" customFormat="false" ht="23.25" hidden="false" customHeight="true" outlineLevel="0" collapsed="false">
      <c r="B36" s="5" t="s">
        <v>88</v>
      </c>
      <c r="C36" s="17" t="s">
        <v>89</v>
      </c>
      <c r="D36" s="17" t="s">
        <v>90</v>
      </c>
      <c r="E36" s="17" t="s">
        <v>91</v>
      </c>
      <c r="F36" s="17" t="s">
        <v>92</v>
      </c>
      <c r="G36" s="17" t="s">
        <v>93</v>
      </c>
    </row>
    <row r="37" customFormat="false" ht="34.5" hidden="false" customHeight="true" outlineLevel="0" collapsed="false">
      <c r="B37" s="5" t="s">
        <v>94</v>
      </c>
      <c r="C37" s="16" t="n">
        <v>6628</v>
      </c>
      <c r="D37" s="16" t="n">
        <v>11555</v>
      </c>
      <c r="E37" s="16" t="n">
        <v>5896</v>
      </c>
      <c r="F37" s="16" t="n">
        <v>5309</v>
      </c>
      <c r="G37" s="16" t="n">
        <v>3834</v>
      </c>
    </row>
    <row r="38" customFormat="false" ht="23.25" hidden="false" customHeight="true" outlineLevel="0" collapsed="false">
      <c r="B38" s="5" t="s">
        <v>95</v>
      </c>
      <c r="C38" s="17" t="s">
        <v>96</v>
      </c>
      <c r="D38" s="17" t="s">
        <v>97</v>
      </c>
      <c r="E38" s="17" t="s">
        <v>98</v>
      </c>
      <c r="F38" s="17" t="s">
        <v>99</v>
      </c>
      <c r="G38" s="17" t="s">
        <v>100</v>
      </c>
    </row>
    <row r="39" customFormat="false" ht="34.5" hidden="false" customHeight="true" outlineLevel="0" collapsed="false">
      <c r="B39" s="5" t="s">
        <v>101</v>
      </c>
      <c r="C39" s="16" t="n">
        <v>2813</v>
      </c>
      <c r="D39" s="16" t="n">
        <v>6015</v>
      </c>
      <c r="E39" s="16" t="n">
        <v>3747</v>
      </c>
      <c r="F39" s="16" t="n">
        <v>2891</v>
      </c>
      <c r="G39" s="16" t="n">
        <v>2642</v>
      </c>
    </row>
    <row r="40" customFormat="false" ht="23.25" hidden="false" customHeight="true" outlineLevel="0" collapsed="false">
      <c r="B40" s="5" t="s">
        <v>102</v>
      </c>
      <c r="C40" s="18" t="n">
        <v>4.18</v>
      </c>
      <c r="D40" s="18" t="n">
        <v>9.23</v>
      </c>
      <c r="E40" s="18" t="n">
        <v>5.81</v>
      </c>
      <c r="F40" s="18" t="n">
        <v>4.55</v>
      </c>
      <c r="G40" s="18" t="n">
        <v>4.19</v>
      </c>
    </row>
    <row r="41" customFormat="false" ht="34.5" hidden="false" customHeight="true" outlineLevel="0" collapsed="false">
      <c r="B41" s="5" t="s">
        <v>103</v>
      </c>
      <c r="C41" s="16" t="n">
        <v>4899</v>
      </c>
      <c r="D41" s="16" t="n">
        <v>8538</v>
      </c>
      <c r="E41" s="16" t="n">
        <v>6498</v>
      </c>
      <c r="F41" s="16" t="n">
        <v>6906</v>
      </c>
      <c r="G41" s="16" t="n">
        <v>6711</v>
      </c>
    </row>
    <row r="42" customFormat="false" ht="34.5" hidden="false" customHeight="true" outlineLevel="0" collapsed="false">
      <c r="B42" s="5" t="s">
        <v>104</v>
      </c>
      <c r="C42" s="19" t="n">
        <v>-1971</v>
      </c>
      <c r="D42" s="19" t="n">
        <v>-2517</v>
      </c>
      <c r="E42" s="19" t="n">
        <v>-3766</v>
      </c>
      <c r="F42" s="19" t="n">
        <v>-3713</v>
      </c>
      <c r="G42" s="19" t="n">
        <v>-3713</v>
      </c>
    </row>
    <row r="43" customFormat="false" ht="34.5" hidden="false" customHeight="true" outlineLevel="0" collapsed="false">
      <c r="B43" s="5" t="s">
        <v>105</v>
      </c>
      <c r="C43" s="16" t="n">
        <v>2928</v>
      </c>
      <c r="D43" s="16" t="n">
        <v>6021</v>
      </c>
      <c r="E43" s="16" t="n">
        <v>2732</v>
      </c>
      <c r="F43" s="16" t="n">
        <v>3193</v>
      </c>
      <c r="G43" s="16" t="n">
        <v>2998</v>
      </c>
    </row>
    <row r="44" customFormat="false" ht="34.5" hidden="false" customHeight="true" outlineLevel="0" collapsed="false">
      <c r="B44" s="5" t="s">
        <v>106</v>
      </c>
      <c r="C44" s="19" t="n">
        <v>-591</v>
      </c>
      <c r="D44" s="19" t="n">
        <v>-2399</v>
      </c>
      <c r="E44" s="19" t="n">
        <v>-1456</v>
      </c>
      <c r="F44" s="19" t="n">
        <v>-737</v>
      </c>
      <c r="G44" s="19" t="n">
        <v>-750</v>
      </c>
    </row>
    <row r="45" customFormat="false" ht="34.5" hidden="false" customHeight="true" outlineLevel="0" collapsed="false">
      <c r="B45" s="5" t="s">
        <v>107</v>
      </c>
      <c r="C45" s="19" t="n">
        <v>-689</v>
      </c>
      <c r="D45" s="19" t="n">
        <v>-1685</v>
      </c>
      <c r="E45" s="19" t="n">
        <v>-1248</v>
      </c>
      <c r="F45" s="19" t="n">
        <v>-558</v>
      </c>
      <c r="G45" s="19" t="n">
        <v>-619</v>
      </c>
    </row>
    <row r="47" customFormat="false" ht="19.5" hidden="false" customHeight="true" outlineLevel="0" collapsed="false">
      <c r="B47" s="4" t="s">
        <v>108</v>
      </c>
      <c r="C47" s="4"/>
      <c r="D47" s="4"/>
      <c r="E47" s="4"/>
      <c r="F47" s="4"/>
      <c r="G47" s="4"/>
      <c r="H47" s="4"/>
      <c r="I47" s="4"/>
    </row>
    <row r="48" customFormat="false" ht="57" hidden="false" customHeight="true" outlineLevel="0" collapsed="false">
      <c r="B48" s="20" t="s">
        <v>109</v>
      </c>
      <c r="C48" s="21" t="s">
        <v>110</v>
      </c>
      <c r="D48" s="22" t="s">
        <v>111</v>
      </c>
    </row>
    <row r="49" customFormat="false" ht="34.5" hidden="false" customHeight="true" outlineLevel="0" collapsed="false">
      <c r="B49" s="6" t="s">
        <v>112</v>
      </c>
      <c r="C49" s="23" t="n">
        <f aca="false">Modelo!J55</f>
        <v>56.614972100662</v>
      </c>
      <c r="D49" s="24" t="n">
        <f aca="false">Modelo!J55/Hipotesis!$C$6-1</f>
        <v>0.143967914743625</v>
      </c>
    </row>
    <row r="50" customFormat="false" ht="34.5" hidden="false" customHeight="true" outlineLevel="0" collapsed="false">
      <c r="B50" s="6" t="s">
        <v>113</v>
      </c>
      <c r="C50" s="23" t="n">
        <f aca="false">Modelo!J56</f>
        <v>41.4316479897445</v>
      </c>
      <c r="D50" s="24" t="n">
        <f aca="false">Modelo!J56/Hipotesis!$C$6-1</f>
        <v>-0.162827884628319</v>
      </c>
    </row>
    <row r="51" customFormat="false" ht="23.25" hidden="false" customHeight="true" outlineLevel="0" collapsed="false">
      <c r="B51" s="6" t="s">
        <v>114</v>
      </c>
      <c r="C51" s="23" t="n">
        <f aca="false">Modelo!J57</f>
        <v>47.9733602883619</v>
      </c>
      <c r="D51" s="24" t="n">
        <f aca="false">Modelo!J57/Hipotesis!$C$6-1</f>
        <v>-0.0306453770789683</v>
      </c>
    </row>
    <row r="52" customFormat="false" ht="23.25" hidden="false" customHeight="true" outlineLevel="0" collapsed="false">
      <c r="B52" s="6" t="s">
        <v>115</v>
      </c>
      <c r="C52" s="23" t="n">
        <f aca="false">Modelo!J58</f>
        <v>55.0437760103878</v>
      </c>
      <c r="D52" s="24" t="n">
        <f aca="false">Modelo!J58/Hipotesis!$C$6-1</f>
        <v>0.112220165899936</v>
      </c>
    </row>
    <row r="53" customFormat="false" ht="23.25" hidden="false" customHeight="true" outlineLevel="0" collapsed="false">
      <c r="B53" s="6" t="s">
        <v>116</v>
      </c>
      <c r="C53" s="23" t="n">
        <f aca="false">Modelo!J59</f>
        <v>28.0167012175228</v>
      </c>
      <c r="D53" s="24" t="n">
        <f aca="false">Modelo!J59/Hipotesis!$C$6-1</f>
        <v>-0.433891670690589</v>
      </c>
    </row>
    <row r="54" customFormat="false" ht="23.25" hidden="false" customHeight="true" outlineLevel="0" collapsed="false">
      <c r="B54" s="6" t="s">
        <v>117</v>
      </c>
      <c r="C54" s="23" t="n">
        <f aca="false">Modelo!J60</f>
        <v>63.0974709398092</v>
      </c>
      <c r="D54" s="24" t="n">
        <f aca="false">Modelo!J60/Hipotesis!$C$6-1</f>
        <v>0.274953949076767</v>
      </c>
    </row>
    <row r="55" customFormat="false" ht="23.25" hidden="false" customHeight="true" outlineLevel="0" collapsed="false">
      <c r="B55" s="6" t="s">
        <v>118</v>
      </c>
      <c r="C55" s="23" t="n">
        <f aca="false">Modelo!J61</f>
        <v>43.9969623243712</v>
      </c>
      <c r="D55" s="24" t="n">
        <f aca="false">Modelo!J61/Hipotesis!$C$6-1</f>
        <v>-0.110992880897733</v>
      </c>
    </row>
    <row r="56" customFormat="false" ht="23.25" hidden="false" customHeight="true" outlineLevel="0" collapsed="false">
      <c r="B56" s="6" t="s">
        <v>119</v>
      </c>
      <c r="C56" s="23" t="n">
        <f aca="false">Modelo!J62</f>
        <v>17.6348560277537</v>
      </c>
      <c r="D56" s="24" t="n">
        <f aca="false">Modelo!J62/Hipotesis!$C$6-1</f>
        <v>-0.643668296064787</v>
      </c>
    </row>
    <row r="57" customFormat="false" ht="23.25" hidden="false" customHeight="true" outlineLevel="0" collapsed="false">
      <c r="B57" s="25" t="s">
        <v>120</v>
      </c>
      <c r="C57" s="26" t="n">
        <f aca="false">MEDIAN(C49:C56)</f>
        <v>45.9851613063665</v>
      </c>
      <c r="D57" s="27" t="n">
        <f aca="false">C57/Hipotesis!$C$6-1</f>
        <v>-0.0708191289883505</v>
      </c>
    </row>
    <row r="58" customFormat="false" ht="23.25" hidden="false" customHeight="true" outlineLevel="0" collapsed="false">
      <c r="B58" s="6" t="s">
        <v>121</v>
      </c>
      <c r="C58" s="23" t="n">
        <f aca="false">AVERAGE(C49:C56)</f>
        <v>44.2262183623266</v>
      </c>
      <c r="D58" s="24" t="n">
        <f aca="false">C58/Hipotesis!$C$6-1</f>
        <v>-0.106360509955009</v>
      </c>
    </row>
    <row r="59" customFormat="false" ht="15" hidden="false" customHeight="true" outlineLevel="0" collapsed="false">
      <c r="B59" s="6" t="s">
        <v>122</v>
      </c>
      <c r="C59" s="28" t="str">
        <f aca="false">TEXT(MIN(C49:C56),"$#,##0")&amp;" – "&amp;TEXT(MAX(C49:C56),"$#,##0")</f>
        <v>$18 – $63</v>
      </c>
      <c r="D59" s="28"/>
    </row>
    <row r="61" customFormat="false" ht="19.5" hidden="false" customHeight="true" outlineLevel="0" collapsed="false">
      <c r="B61" s="4" t="s">
        <v>123</v>
      </c>
      <c r="C61" s="4"/>
      <c r="D61" s="4"/>
      <c r="E61" s="4"/>
      <c r="F61" s="4"/>
      <c r="G61" s="4"/>
      <c r="H61" s="4"/>
      <c r="I61" s="4"/>
    </row>
    <row r="62" customFormat="false" ht="23.25" hidden="false" customHeight="true" outlineLevel="0" collapsed="false">
      <c r="B62" s="5" t="s">
        <v>124</v>
      </c>
      <c r="C62" s="29" t="n">
        <f aca="false">C57</f>
        <v>45.9851613063665</v>
      </c>
      <c r="D62" s="30" t="s">
        <v>125</v>
      </c>
      <c r="E62" s="31" t="n">
        <f aca="false">C57/Hipotesis!$C$6-1</f>
        <v>-0.0708191289883505</v>
      </c>
    </row>
    <row r="64" customFormat="false" ht="36" hidden="false" customHeight="true" outlineLevel="0" collapsed="false">
      <c r="B64" s="32" t="s">
        <v>126</v>
      </c>
      <c r="C64" s="32"/>
      <c r="D64" s="32"/>
      <c r="E64" s="32"/>
      <c r="F64" s="32"/>
      <c r="G64" s="32"/>
      <c r="H64" s="32"/>
      <c r="I64" s="32"/>
    </row>
    <row r="65" customFormat="false" ht="36" hidden="false" customHeight="true" outlineLevel="0" collapsed="false">
      <c r="B65" s="32" t="s">
        <v>127</v>
      </c>
      <c r="C65" s="32"/>
      <c r="D65" s="32"/>
      <c r="E65" s="32"/>
      <c r="F65" s="32"/>
      <c r="G65" s="32"/>
      <c r="H65" s="32"/>
      <c r="I65" s="32"/>
    </row>
    <row r="66" customFormat="false" ht="36" hidden="false" customHeight="true" outlineLevel="0" collapsed="false">
      <c r="B66" s="32" t="s">
        <v>128</v>
      </c>
      <c r="C66" s="32"/>
      <c r="D66" s="32"/>
      <c r="E66" s="32"/>
      <c r="F66" s="32"/>
      <c r="G66" s="32"/>
      <c r="H66" s="32"/>
      <c r="I66" s="32"/>
    </row>
    <row r="67" customFormat="false" ht="36" hidden="false" customHeight="true" outlineLevel="0" collapsed="false">
      <c r="B67" s="32" t="s">
        <v>129</v>
      </c>
      <c r="C67" s="32"/>
      <c r="D67" s="32"/>
      <c r="E67" s="32"/>
      <c r="F67" s="32"/>
      <c r="G67" s="32"/>
      <c r="H67" s="32"/>
      <c r="I67" s="32"/>
    </row>
    <row r="68" customFormat="false" ht="36" hidden="false" customHeight="true" outlineLevel="0" collapsed="false">
      <c r="B68" s="32" t="s">
        <v>130</v>
      </c>
      <c r="C68" s="32"/>
      <c r="D68" s="32"/>
      <c r="E68" s="32"/>
      <c r="F68" s="32"/>
      <c r="G68" s="32"/>
      <c r="H68" s="32"/>
      <c r="I68" s="32"/>
    </row>
    <row r="69" customFormat="false" ht="36" hidden="false" customHeight="true" outlineLevel="0" collapsed="false">
      <c r="B69" s="32" t="s">
        <v>131</v>
      </c>
      <c r="C69" s="32"/>
      <c r="D69" s="32"/>
      <c r="E69" s="32"/>
      <c r="F69" s="32"/>
      <c r="G69" s="32"/>
      <c r="H69" s="32"/>
      <c r="I69" s="32"/>
    </row>
    <row r="70" customFormat="false" ht="36" hidden="false" customHeight="true" outlineLevel="0" collapsed="false">
      <c r="B70" s="32" t="s">
        <v>132</v>
      </c>
      <c r="C70" s="32"/>
      <c r="D70" s="32"/>
      <c r="E70" s="32"/>
      <c r="F70" s="32"/>
      <c r="G70" s="32"/>
      <c r="H70" s="32"/>
      <c r="I70" s="32"/>
    </row>
    <row r="72" customFormat="false" ht="15" hidden="false" customHeight="true" outlineLevel="0" collapsed="false">
      <c r="B72" s="12" t="s">
        <v>133</v>
      </c>
      <c r="C72" s="12"/>
      <c r="D72" s="12"/>
      <c r="E72" s="12"/>
      <c r="F72" s="12"/>
      <c r="G72" s="12"/>
      <c r="H72" s="12"/>
      <c r="I72" s="12"/>
    </row>
  </sheetData>
  <mergeCells count="26">
    <mergeCell ref="B2:I2"/>
    <mergeCell ref="B3:I3"/>
    <mergeCell ref="B5:I5"/>
    <mergeCell ref="B17:I17"/>
    <mergeCell ref="E18:I18"/>
    <mergeCell ref="E19:I19"/>
    <mergeCell ref="E20:I20"/>
    <mergeCell ref="E21:I21"/>
    <mergeCell ref="E22:I22"/>
    <mergeCell ref="E23:I23"/>
    <mergeCell ref="E26:I26"/>
    <mergeCell ref="E27:I27"/>
    <mergeCell ref="E28:I28"/>
    <mergeCell ref="E29:I29"/>
    <mergeCell ref="B33:I33"/>
    <mergeCell ref="B47:I47"/>
    <mergeCell ref="C59:D59"/>
    <mergeCell ref="B61:I61"/>
    <mergeCell ref="B64:I64"/>
    <mergeCell ref="B65:I65"/>
    <mergeCell ref="B66:I66"/>
    <mergeCell ref="B67:I67"/>
    <mergeCell ref="B68:I68"/>
    <mergeCell ref="B69:I69"/>
    <mergeCell ref="B70:I70"/>
    <mergeCell ref="B72:I7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2"/>
    <col collapsed="false" customWidth="true" hidden="false" outlineLevel="0" max="10" min="3" style="1" width="14"/>
  </cols>
  <sheetData>
    <row r="1" customFormat="false" ht="30" hidden="false" customHeight="true" outlineLevel="0" collapsed="false">
      <c r="B1" s="33" t="s">
        <v>134</v>
      </c>
      <c r="C1" s="33"/>
      <c r="D1" s="33"/>
      <c r="E1" s="33"/>
      <c r="F1" s="33"/>
      <c r="G1" s="33"/>
      <c r="H1" s="33"/>
      <c r="I1" s="33"/>
      <c r="J1" s="33"/>
    </row>
    <row r="2" customFormat="false" ht="15" hidden="false" customHeight="true" outlineLevel="0" collapsed="false">
      <c r="B2" s="34" t="s">
        <v>135</v>
      </c>
      <c r="C2" s="35" t="s">
        <v>136</v>
      </c>
      <c r="D2" s="36" t="s">
        <v>137</v>
      </c>
      <c r="E2" s="37" t="s">
        <v>138</v>
      </c>
      <c r="F2" s="38" t="s">
        <v>139</v>
      </c>
      <c r="G2" s="39" t="s">
        <v>140</v>
      </c>
    </row>
    <row r="4" customFormat="false" ht="21.75" hidden="false" customHeight="true" outlineLevel="0" collapsed="false">
      <c r="B4" s="40" t="s">
        <v>141</v>
      </c>
      <c r="C4" s="40"/>
      <c r="D4" s="40"/>
      <c r="E4" s="40"/>
      <c r="F4" s="40"/>
      <c r="G4" s="40"/>
      <c r="H4" s="40"/>
      <c r="I4" s="40"/>
      <c r="J4" s="40"/>
    </row>
    <row r="5" customFormat="false" ht="15" hidden="false" customHeight="true" outlineLevel="0" collapsed="false">
      <c r="B5" s="41" t="s">
        <v>142</v>
      </c>
      <c r="C5" s="41" t="s">
        <v>143</v>
      </c>
      <c r="D5" s="42" t="s">
        <v>144</v>
      </c>
      <c r="E5" s="42"/>
      <c r="F5" s="42"/>
      <c r="G5" s="42"/>
      <c r="H5" s="42"/>
      <c r="I5" s="42"/>
    </row>
    <row r="6" customFormat="false" ht="15" hidden="false" customHeight="true" outlineLevel="0" collapsed="false">
      <c r="B6" s="43" t="s">
        <v>145</v>
      </c>
      <c r="C6" s="44" t="n">
        <v>49.49</v>
      </c>
      <c r="D6" s="45" t="s">
        <v>146</v>
      </c>
      <c r="E6" s="45"/>
      <c r="F6" s="45"/>
      <c r="G6" s="45"/>
      <c r="H6" s="45"/>
      <c r="I6" s="45"/>
    </row>
    <row r="7" customFormat="false" ht="15" hidden="false" customHeight="true" outlineLevel="0" collapsed="false">
      <c r="B7" s="43" t="s">
        <v>147</v>
      </c>
      <c r="C7" s="46" t="n">
        <v>1153</v>
      </c>
      <c r="D7" s="45" t="s">
        <v>148</v>
      </c>
      <c r="E7" s="45"/>
      <c r="F7" s="45"/>
      <c r="G7" s="45"/>
      <c r="H7" s="45"/>
      <c r="I7" s="45"/>
    </row>
    <row r="8" customFormat="false" ht="15" hidden="false" customHeight="true" outlineLevel="0" collapsed="false">
      <c r="B8" s="43" t="s">
        <v>149</v>
      </c>
      <c r="C8" s="47" t="n">
        <v>1153</v>
      </c>
      <c r="D8" s="45" t="s">
        <v>150</v>
      </c>
      <c r="E8" s="45"/>
      <c r="F8" s="45"/>
      <c r="G8" s="45"/>
      <c r="H8" s="45"/>
      <c r="I8" s="45"/>
    </row>
    <row r="9" customFormat="false" ht="15" hidden="false" customHeight="true" outlineLevel="0" collapsed="false">
      <c r="B9" s="43" t="s">
        <v>151</v>
      </c>
      <c r="C9" s="48" t="n">
        <v>0.045</v>
      </c>
      <c r="D9" s="45" t="s">
        <v>152</v>
      </c>
      <c r="E9" s="45"/>
      <c r="F9" s="45"/>
      <c r="G9" s="45"/>
      <c r="H9" s="45"/>
      <c r="I9" s="45"/>
    </row>
    <row r="10" customFormat="false" ht="15" hidden="false" customHeight="true" outlineLevel="0" collapsed="false">
      <c r="B10" s="43" t="s">
        <v>153</v>
      </c>
      <c r="C10" s="48" t="n">
        <v>0.045</v>
      </c>
      <c r="D10" s="45" t="s">
        <v>154</v>
      </c>
      <c r="E10" s="45"/>
      <c r="F10" s="45"/>
      <c r="G10" s="45"/>
      <c r="H10" s="45"/>
      <c r="I10" s="45"/>
    </row>
    <row r="11" customFormat="false" ht="15" hidden="false" customHeight="true" outlineLevel="0" collapsed="false">
      <c r="B11" s="43" t="s">
        <v>155</v>
      </c>
      <c r="C11" s="49" t="n">
        <v>1.2</v>
      </c>
      <c r="D11" s="45" t="s">
        <v>156</v>
      </c>
      <c r="E11" s="45"/>
      <c r="F11" s="45"/>
      <c r="G11" s="45"/>
      <c r="H11" s="45"/>
      <c r="I11" s="45"/>
    </row>
    <row r="12" customFormat="false" ht="15" hidden="false" customHeight="true" outlineLevel="0" collapsed="false">
      <c r="B12" s="43" t="s">
        <v>157</v>
      </c>
      <c r="C12" s="50" t="n">
        <v>0.055</v>
      </c>
      <c r="D12" s="45" t="s">
        <v>158</v>
      </c>
      <c r="E12" s="45"/>
      <c r="F12" s="45"/>
      <c r="G12" s="45"/>
      <c r="H12" s="45"/>
      <c r="I12" s="45"/>
    </row>
    <row r="13" customFormat="false" ht="15" hidden="false" customHeight="true" outlineLevel="0" collapsed="false">
      <c r="B13" s="43" t="s">
        <v>159</v>
      </c>
      <c r="C13" s="51" t="n">
        <v>0.22</v>
      </c>
      <c r="D13" s="45" t="s">
        <v>160</v>
      </c>
      <c r="E13" s="45"/>
      <c r="F13" s="45"/>
      <c r="G13" s="45"/>
      <c r="H13" s="45"/>
      <c r="I13" s="45"/>
    </row>
    <row r="14" customFormat="false" ht="15" hidden="false" customHeight="true" outlineLevel="0" collapsed="false">
      <c r="B14" s="43" t="s">
        <v>161</v>
      </c>
      <c r="C14" s="52" t="n">
        <v>12200</v>
      </c>
      <c r="D14" s="45" t="s">
        <v>162</v>
      </c>
      <c r="E14" s="45"/>
      <c r="F14" s="45"/>
      <c r="G14" s="45"/>
      <c r="H14" s="45"/>
      <c r="I14" s="45"/>
    </row>
    <row r="15" customFormat="false" ht="15" hidden="false" customHeight="true" outlineLevel="0" collapsed="false">
      <c r="B15" s="43" t="s">
        <v>163</v>
      </c>
      <c r="C15" s="52" t="n">
        <v>1930</v>
      </c>
      <c r="D15" s="45" t="s">
        <v>164</v>
      </c>
      <c r="E15" s="45"/>
      <c r="F15" s="45"/>
      <c r="G15" s="45"/>
      <c r="H15" s="45"/>
      <c r="I15" s="45"/>
    </row>
    <row r="16" customFormat="false" ht="15" hidden="false" customHeight="true" outlineLevel="0" collapsed="false">
      <c r="B16" s="43" t="s">
        <v>165</v>
      </c>
      <c r="C16" s="52" t="n">
        <v>715</v>
      </c>
      <c r="D16" s="45" t="s">
        <v>166</v>
      </c>
      <c r="E16" s="45"/>
      <c r="F16" s="45"/>
      <c r="G16" s="45"/>
      <c r="H16" s="45"/>
      <c r="I16" s="45"/>
    </row>
    <row r="18" customFormat="false" ht="21.75" hidden="false" customHeight="true" outlineLevel="0" collapsed="false">
      <c r="B18" s="40" t="s">
        <v>167</v>
      </c>
      <c r="C18" s="40"/>
      <c r="D18" s="40"/>
      <c r="E18" s="40"/>
    </row>
    <row r="19" customFormat="false" ht="15" hidden="false" customHeight="true" outlineLevel="0" collapsed="false">
      <c r="B19" s="43" t="s">
        <v>168</v>
      </c>
      <c r="C19" s="53" t="n">
        <f aca="false">Hipotesis!$C$9 + Hipotesis!$C$11*Hipotesis!$C$10</f>
        <v>0.099</v>
      </c>
    </row>
    <row r="20" customFormat="false" ht="15" hidden="false" customHeight="true" outlineLevel="0" collapsed="false">
      <c r="B20" s="43" t="s">
        <v>169</v>
      </c>
      <c r="C20" s="53" t="n">
        <f aca="false">Hipotesis!$C$12 * (1 - Hipotesis!$C$13)</f>
        <v>0.0429</v>
      </c>
    </row>
    <row r="21" customFormat="false" ht="15" hidden="false" customHeight="true" outlineLevel="0" collapsed="false">
      <c r="B21" s="43" t="s">
        <v>170</v>
      </c>
      <c r="C21" s="54" t="n">
        <f aca="false">Hipotesis!$C$6 * Hipotesis!$C$8</f>
        <v>57061.97</v>
      </c>
    </row>
    <row r="22" customFormat="false" ht="15" hidden="false" customHeight="true" outlineLevel="0" collapsed="false">
      <c r="B22" s="43" t="s">
        <v>171</v>
      </c>
      <c r="C22" s="54" t="n">
        <f aca="false">Hipotesis!$C$21 + Hipotesis!$C$14</f>
        <v>69261.97</v>
      </c>
    </row>
    <row r="23" customFormat="false" ht="15" hidden="false" customHeight="true" outlineLevel="0" collapsed="false">
      <c r="B23" s="43" t="s">
        <v>172</v>
      </c>
      <c r="C23" s="55" t="n">
        <f aca="false">Hipotesis!$C$21 / Hipotesis!$C$22</f>
        <v>0.823857161440831</v>
      </c>
    </row>
    <row r="24" customFormat="false" ht="15" hidden="false" customHeight="true" outlineLevel="0" collapsed="false">
      <c r="B24" s="43" t="s">
        <v>173</v>
      </c>
      <c r="C24" s="55" t="n">
        <f aca="false">Hipotesis!$C$14 / Hipotesis!$C$22</f>
        <v>0.176142838559169</v>
      </c>
    </row>
    <row r="25" customFormat="false" ht="15" hidden="false" customHeight="true" outlineLevel="0" collapsed="false">
      <c r="B25" s="43" t="s">
        <v>174</v>
      </c>
      <c r="C25" s="56" t="n">
        <f aca="false">Hipotesis!$C$23*Hipotesis!$C$19 + Hipotesis!$C$24*Hipotesis!$C$20</f>
        <v>0.0891183867568306</v>
      </c>
    </row>
    <row r="28" customFormat="false" ht="21.75" hidden="false" customHeight="true" outlineLevel="0" collapsed="false">
      <c r="B28" s="40" t="s">
        <v>175</v>
      </c>
      <c r="C28" s="40"/>
      <c r="D28" s="40"/>
      <c r="E28" s="40"/>
      <c r="F28" s="40"/>
      <c r="G28" s="40"/>
      <c r="H28" s="40"/>
      <c r="I28" s="40"/>
      <c r="J28" s="40"/>
    </row>
    <row r="29" customFormat="false" ht="15" hidden="false" customHeight="true" outlineLevel="0" collapsed="false">
      <c r="B29" s="41" t="s">
        <v>176</v>
      </c>
      <c r="C29" s="57" t="s">
        <v>177</v>
      </c>
      <c r="D29" s="57" t="s">
        <v>178</v>
      </c>
      <c r="E29" s="57" t="s">
        <v>179</v>
      </c>
      <c r="F29" s="57" t="s">
        <v>180</v>
      </c>
      <c r="G29" s="57" t="s">
        <v>181</v>
      </c>
      <c r="H29" s="57" t="s">
        <v>182</v>
      </c>
    </row>
    <row r="30" customFormat="false" ht="54.75" hidden="false" customHeight="true" outlineLevel="0" collapsed="false">
      <c r="B30" s="43" t="s">
        <v>183</v>
      </c>
      <c r="C30" s="58" t="n">
        <v>0.45</v>
      </c>
      <c r="D30" s="58" t="n">
        <v>0.03</v>
      </c>
      <c r="E30" s="58" t="n">
        <v>0.025</v>
      </c>
      <c r="F30" s="58" t="n">
        <v>0.02</v>
      </c>
      <c r="G30" s="58" t="n">
        <v>0.015</v>
      </c>
      <c r="H30" s="51" t="n">
        <v>0</v>
      </c>
      <c r="J30" s="59" t="s">
        <v>184</v>
      </c>
    </row>
    <row r="31" customFormat="false" ht="63.75" hidden="false" customHeight="true" outlineLevel="0" collapsed="false">
      <c r="B31" s="43" t="s">
        <v>185</v>
      </c>
      <c r="C31" s="58" t="n">
        <v>0.45</v>
      </c>
      <c r="D31" s="58" t="n">
        <v>0.04</v>
      </c>
      <c r="E31" s="58" t="n">
        <v>0.03</v>
      </c>
      <c r="F31" s="58" t="n">
        <v>0.025</v>
      </c>
      <c r="G31" s="58" t="n">
        <v>0.02</v>
      </c>
      <c r="H31" s="51" t="n">
        <v>0</v>
      </c>
      <c r="J31" s="59" t="s">
        <v>186</v>
      </c>
    </row>
    <row r="32" customFormat="false" ht="45.75" hidden="false" customHeight="true" outlineLevel="0" collapsed="false">
      <c r="B32" s="43" t="s">
        <v>187</v>
      </c>
      <c r="C32" s="58" t="n">
        <v>2.15</v>
      </c>
      <c r="D32" s="58" t="n">
        <v>0.04</v>
      </c>
      <c r="E32" s="58" t="n">
        <v>0.03</v>
      </c>
      <c r="F32" s="58" t="n">
        <v>0.025</v>
      </c>
      <c r="G32" s="58" t="n">
        <v>0.02</v>
      </c>
      <c r="H32" s="51" t="n">
        <v>0</v>
      </c>
      <c r="J32" s="59" t="s">
        <v>188</v>
      </c>
    </row>
    <row r="33" customFormat="false" ht="54.75" hidden="false" customHeight="true" outlineLevel="0" collapsed="false">
      <c r="B33" s="43" t="s">
        <v>189</v>
      </c>
      <c r="C33" s="58" t="n">
        <v>0.4</v>
      </c>
      <c r="D33" s="58" t="n">
        <v>0.42</v>
      </c>
      <c r="E33" s="58" t="n">
        <v>0.43</v>
      </c>
      <c r="F33" s="58" t="n">
        <v>0.43</v>
      </c>
      <c r="G33" s="58" t="n">
        <v>0.43</v>
      </c>
      <c r="H33" s="51" t="n">
        <v>0.42</v>
      </c>
      <c r="J33" s="59" t="s">
        <v>190</v>
      </c>
    </row>
    <row r="34" customFormat="false" ht="45.75" hidden="false" customHeight="true" outlineLevel="0" collapsed="false">
      <c r="B34" s="43" t="s">
        <v>191</v>
      </c>
      <c r="C34" s="58" t="n">
        <v>0.18</v>
      </c>
      <c r="D34" s="58" t="n">
        <v>0.2</v>
      </c>
      <c r="E34" s="58" t="n">
        <v>0.22</v>
      </c>
      <c r="F34" s="58" t="n">
        <v>0.22</v>
      </c>
      <c r="G34" s="58" t="n">
        <v>0.22</v>
      </c>
      <c r="H34" s="51" t="n">
        <v>0.2</v>
      </c>
      <c r="J34" s="59" t="s">
        <v>192</v>
      </c>
    </row>
    <row r="35" customFormat="false" ht="45.75" hidden="false" customHeight="true" outlineLevel="0" collapsed="false">
      <c r="B35" s="43" t="s">
        <v>193</v>
      </c>
      <c r="C35" s="58" t="n">
        <v>0.1</v>
      </c>
      <c r="D35" s="58" t="n">
        <v>0.15</v>
      </c>
      <c r="E35" s="58" t="n">
        <v>0.18</v>
      </c>
      <c r="F35" s="58" t="n">
        <v>0.2</v>
      </c>
      <c r="G35" s="58" t="n">
        <v>0.22</v>
      </c>
      <c r="H35" s="51" t="n">
        <v>0.2</v>
      </c>
      <c r="J35" s="59" t="s">
        <v>194</v>
      </c>
    </row>
    <row r="37" customFormat="false" ht="21.75" hidden="false" customHeight="true" outlineLevel="0" collapsed="false">
      <c r="B37" s="40" t="s">
        <v>195</v>
      </c>
      <c r="C37" s="40"/>
      <c r="D37" s="40"/>
      <c r="E37" s="40"/>
      <c r="F37" s="40"/>
      <c r="G37" s="40"/>
      <c r="H37" s="40"/>
      <c r="I37" s="40"/>
      <c r="J37" s="40"/>
    </row>
    <row r="38" customFormat="false" ht="15" hidden="false" customHeight="true" outlineLevel="0" collapsed="false">
      <c r="B38" s="60" t="s">
        <v>196</v>
      </c>
      <c r="C38" s="57" t="s">
        <v>197</v>
      </c>
      <c r="D38" s="57" t="s">
        <v>198</v>
      </c>
      <c r="E38" s="57" t="s">
        <v>199</v>
      </c>
      <c r="F38" s="57" t="s">
        <v>200</v>
      </c>
      <c r="G38" s="57" t="s">
        <v>201</v>
      </c>
      <c r="H38" s="57" t="s">
        <v>182</v>
      </c>
    </row>
    <row r="39" customFormat="false" ht="63.75" hidden="false" customHeight="true" outlineLevel="0" collapsed="false">
      <c r="B39" s="43" t="s">
        <v>202</v>
      </c>
      <c r="C39" s="58" t="n">
        <v>0.225</v>
      </c>
      <c r="D39" s="58" t="n">
        <v>0.22</v>
      </c>
      <c r="E39" s="58" t="n">
        <v>0.215</v>
      </c>
      <c r="F39" s="58" t="n">
        <v>0.215</v>
      </c>
      <c r="G39" s="58" t="n">
        <v>0.215</v>
      </c>
      <c r="H39" s="58" t="n">
        <v>0.22</v>
      </c>
      <c r="J39" s="59" t="s">
        <v>203</v>
      </c>
    </row>
    <row r="40" customFormat="false" ht="45.75" hidden="false" customHeight="true" outlineLevel="0" collapsed="false">
      <c r="B40" s="43" t="s">
        <v>204</v>
      </c>
      <c r="C40" s="58" t="n">
        <v>0.155</v>
      </c>
      <c r="D40" s="58" t="n">
        <v>0.16</v>
      </c>
      <c r="E40" s="58" t="n">
        <v>0.16</v>
      </c>
      <c r="F40" s="58" t="n">
        <v>0.155</v>
      </c>
      <c r="G40" s="58" t="n">
        <v>0.155</v>
      </c>
      <c r="H40" s="58" t="n">
        <v>0.15</v>
      </c>
      <c r="J40" s="59" t="s">
        <v>205</v>
      </c>
    </row>
    <row r="41" customFormat="false" ht="36.75" hidden="false" customHeight="true" outlineLevel="0" collapsed="false">
      <c r="B41" s="43" t="s">
        <v>206</v>
      </c>
      <c r="C41" s="51" t="n">
        <v>0.005</v>
      </c>
      <c r="D41" s="51" t="n">
        <v>0.005</v>
      </c>
      <c r="E41" s="51" t="n">
        <v>0.005</v>
      </c>
      <c r="F41" s="51" t="n">
        <v>0.005</v>
      </c>
      <c r="G41" s="51" t="n">
        <v>0.005</v>
      </c>
      <c r="H41" s="51" t="n">
        <v>0.005</v>
      </c>
      <c r="J41" s="59" t="s">
        <v>207</v>
      </c>
    </row>
    <row r="42" customFormat="false" ht="45.75" hidden="false" customHeight="true" outlineLevel="0" collapsed="false">
      <c r="B42" s="43" t="s">
        <v>208</v>
      </c>
      <c r="C42" s="51" t="n">
        <v>0.005</v>
      </c>
      <c r="D42" s="51" t="n">
        <v>0.003</v>
      </c>
      <c r="E42" s="51" t="n">
        <v>0</v>
      </c>
      <c r="F42" s="51" t="n">
        <v>0</v>
      </c>
      <c r="G42" s="51" t="n">
        <v>0</v>
      </c>
      <c r="H42" s="51" t="n">
        <v>0</v>
      </c>
      <c r="J42" s="59" t="s">
        <v>209</v>
      </c>
    </row>
    <row r="43" customFormat="false" ht="45.75" hidden="false" customHeight="true" outlineLevel="0" collapsed="false">
      <c r="B43" s="43" t="s">
        <v>210</v>
      </c>
      <c r="C43" s="51" t="n">
        <v>0.65</v>
      </c>
      <c r="D43" s="51" t="n">
        <v>0.7</v>
      </c>
      <c r="E43" s="51" t="n">
        <v>0.7</v>
      </c>
      <c r="F43" s="51" t="n">
        <v>0.7</v>
      </c>
      <c r="G43" s="51" t="n">
        <v>0.7</v>
      </c>
      <c r="H43" s="51" t="n">
        <v>0.7</v>
      </c>
      <c r="J43" s="59" t="s">
        <v>211</v>
      </c>
    </row>
    <row r="45" customFormat="false" ht="21.75" hidden="false" customHeight="true" outlineLevel="0" collapsed="false">
      <c r="B45" s="40" t="s">
        <v>212</v>
      </c>
      <c r="C45" s="40"/>
      <c r="D45" s="40"/>
      <c r="E45" s="40"/>
      <c r="F45" s="40"/>
      <c r="G45" s="40"/>
      <c r="H45" s="40"/>
      <c r="I45" s="40"/>
      <c r="J45" s="40"/>
    </row>
    <row r="46" customFormat="false" ht="15" hidden="false" customHeight="true" outlineLevel="0" collapsed="false">
      <c r="B46" s="41" t="s">
        <v>142</v>
      </c>
      <c r="C46" s="41" t="s">
        <v>143</v>
      </c>
      <c r="D46" s="42" t="s">
        <v>213</v>
      </c>
      <c r="E46" s="42"/>
      <c r="F46" s="42"/>
      <c r="G46" s="42"/>
      <c r="H46" s="42"/>
      <c r="I46" s="42"/>
    </row>
    <row r="47" customFormat="false" ht="15" hidden="false" customHeight="true" outlineLevel="0" collapsed="false">
      <c r="B47" s="43" t="s">
        <v>214</v>
      </c>
      <c r="C47" s="58" t="n">
        <v>0.02</v>
      </c>
      <c r="D47" s="45" t="s">
        <v>215</v>
      </c>
      <c r="E47" s="45"/>
      <c r="F47" s="45"/>
      <c r="G47" s="45"/>
      <c r="H47" s="45"/>
      <c r="I47" s="45"/>
    </row>
    <row r="48" customFormat="false" ht="15" hidden="false" customHeight="true" outlineLevel="0" collapsed="false">
      <c r="B48" s="43" t="s">
        <v>216</v>
      </c>
      <c r="C48" s="61" t="n">
        <v>5</v>
      </c>
      <c r="D48" s="45" t="s">
        <v>217</v>
      </c>
      <c r="E48" s="45"/>
      <c r="F48" s="45"/>
      <c r="G48" s="45"/>
      <c r="H48" s="45"/>
      <c r="I48" s="45"/>
    </row>
    <row r="49" customFormat="false" ht="15" hidden="false" customHeight="true" outlineLevel="0" collapsed="false">
      <c r="B49" s="43" t="s">
        <v>218</v>
      </c>
      <c r="C49" s="58" t="n">
        <v>0.05</v>
      </c>
      <c r="D49" s="45" t="s">
        <v>219</v>
      </c>
      <c r="E49" s="45"/>
      <c r="F49" s="45"/>
      <c r="G49" s="45"/>
      <c r="H49" s="45"/>
      <c r="I49" s="45"/>
    </row>
    <row r="50" customFormat="false" ht="15" hidden="false" customHeight="true" outlineLevel="0" collapsed="false">
      <c r="B50" s="43" t="s">
        <v>220</v>
      </c>
      <c r="C50" s="62" t="n">
        <v>5.5</v>
      </c>
      <c r="D50" s="45" t="s">
        <v>221</v>
      </c>
      <c r="E50" s="45"/>
      <c r="F50" s="45"/>
      <c r="G50" s="45"/>
      <c r="H50" s="45"/>
      <c r="I50" s="45"/>
    </row>
    <row r="51" customFormat="false" ht="15" hidden="false" customHeight="true" outlineLevel="0" collapsed="false">
      <c r="B51" s="43" t="s">
        <v>222</v>
      </c>
      <c r="C51" s="62" t="n">
        <v>9</v>
      </c>
      <c r="D51" s="45" t="s">
        <v>223</v>
      </c>
      <c r="E51" s="45"/>
      <c r="F51" s="45"/>
      <c r="G51" s="45"/>
      <c r="H51" s="45"/>
      <c r="I51" s="45"/>
    </row>
    <row r="52" customFormat="false" ht="15" hidden="false" customHeight="true" outlineLevel="0" collapsed="false">
      <c r="B52" s="43" t="s">
        <v>224</v>
      </c>
      <c r="C52" s="63" t="n">
        <v>1.5</v>
      </c>
      <c r="D52" s="45" t="s">
        <v>225</v>
      </c>
      <c r="E52" s="45"/>
      <c r="F52" s="45"/>
      <c r="G52" s="45"/>
      <c r="H52" s="45"/>
      <c r="I52" s="45"/>
    </row>
    <row r="53" customFormat="false" ht="15" hidden="false" customHeight="true" outlineLevel="0" collapsed="false">
      <c r="B53" s="43" t="s">
        <v>226</v>
      </c>
      <c r="C53" s="63" t="n">
        <v>12</v>
      </c>
      <c r="D53" s="45" t="s">
        <v>227</v>
      </c>
      <c r="E53" s="45"/>
      <c r="F53" s="45"/>
      <c r="G53" s="45"/>
      <c r="H53" s="45"/>
      <c r="I53" s="45"/>
    </row>
    <row r="54" customFormat="false" ht="15" hidden="false" customHeight="true" outlineLevel="0" collapsed="false">
      <c r="B54" s="43" t="s">
        <v>228</v>
      </c>
      <c r="C54" s="58" t="n">
        <v>0.8</v>
      </c>
      <c r="D54" s="45" t="s">
        <v>229</v>
      </c>
      <c r="E54" s="45"/>
      <c r="F54" s="45"/>
      <c r="G54" s="45"/>
      <c r="H54" s="45"/>
      <c r="I54" s="45"/>
    </row>
    <row r="56" customFormat="false" ht="21.75" hidden="false" customHeight="true" outlineLevel="0" collapsed="false">
      <c r="B56" s="40" t="s">
        <v>230</v>
      </c>
      <c r="C56" s="40"/>
      <c r="D56" s="40"/>
      <c r="E56" s="40"/>
      <c r="F56" s="40"/>
      <c r="G56" s="40"/>
      <c r="H56" s="40"/>
      <c r="I56" s="40"/>
      <c r="J56" s="40"/>
    </row>
    <row r="57" customFormat="false" ht="15" hidden="false" customHeight="true" outlineLevel="0" collapsed="false">
      <c r="B57" s="43" t="s">
        <v>231</v>
      </c>
      <c r="C57" s="64" t="n">
        <v>1000</v>
      </c>
      <c r="D57" s="45" t="s">
        <v>232</v>
      </c>
      <c r="E57" s="45"/>
      <c r="F57" s="45"/>
      <c r="G57" s="45"/>
      <c r="H57" s="45"/>
      <c r="I57" s="45"/>
    </row>
    <row r="58" customFormat="false" ht="15" hidden="false" customHeight="true" outlineLevel="0" collapsed="false">
      <c r="B58" s="43" t="s">
        <v>233</v>
      </c>
      <c r="C58" s="65" t="n">
        <v>0.4</v>
      </c>
      <c r="D58" s="45" t="s">
        <v>234</v>
      </c>
      <c r="E58" s="45"/>
      <c r="F58" s="45"/>
      <c r="G58" s="45"/>
      <c r="H58" s="45"/>
      <c r="I58" s="45"/>
    </row>
    <row r="59" customFormat="false" ht="15" hidden="false" customHeight="true" outlineLevel="0" collapsed="false">
      <c r="B59" s="43" t="s">
        <v>235</v>
      </c>
      <c r="C59" s="64" t="n">
        <v>8000</v>
      </c>
      <c r="D59" s="45" t="s">
        <v>236</v>
      </c>
      <c r="E59" s="45"/>
      <c r="F59" s="45"/>
      <c r="G59" s="45"/>
      <c r="H59" s="45"/>
      <c r="I59" s="45"/>
    </row>
    <row r="62" customFormat="false" ht="15" hidden="false" customHeight="true" outlineLevel="0" collapsed="false">
      <c r="B62" s="1" t="s">
        <v>237</v>
      </c>
    </row>
    <row r="63" customFormat="false" ht="15" hidden="false" customHeight="true" outlineLevel="0" collapsed="false">
      <c r="B63" s="1" t="s">
        <v>196</v>
      </c>
      <c r="C63" s="1" t="s">
        <v>177</v>
      </c>
      <c r="D63" s="1" t="s">
        <v>178</v>
      </c>
      <c r="E63" s="1" t="s">
        <v>179</v>
      </c>
      <c r="F63" s="1" t="s">
        <v>180</v>
      </c>
      <c r="G63" s="1" t="s">
        <v>181</v>
      </c>
      <c r="H63" s="1" t="s">
        <v>182</v>
      </c>
    </row>
    <row r="64" customFormat="false" ht="15" hidden="false" customHeight="true" outlineLevel="0" collapsed="false">
      <c r="B64" s="1" t="s">
        <v>238</v>
      </c>
      <c r="C64" s="1" t="n">
        <v>67</v>
      </c>
      <c r="D64" s="1" t="n">
        <v>64</v>
      </c>
      <c r="E64" s="1" t="n">
        <v>63</v>
      </c>
      <c r="F64" s="1" t="n">
        <v>62</v>
      </c>
      <c r="G64" s="1" t="n">
        <v>62</v>
      </c>
      <c r="H64" s="1" t="n">
        <v>62</v>
      </c>
      <c r="J64" s="1" t="s">
        <v>239</v>
      </c>
    </row>
    <row r="65" customFormat="false" ht="15" hidden="false" customHeight="true" outlineLevel="0" collapsed="false">
      <c r="B65" s="1" t="s">
        <v>240</v>
      </c>
      <c r="C65" s="1" t="n">
        <v>2.2</v>
      </c>
      <c r="D65" s="1" t="n">
        <v>2.4</v>
      </c>
      <c r="E65" s="1" t="n">
        <v>2.6</v>
      </c>
      <c r="F65" s="1" t="n">
        <v>2.7</v>
      </c>
      <c r="G65" s="1" t="n">
        <v>2.8</v>
      </c>
      <c r="H65" s="1" t="n">
        <v>2.8</v>
      </c>
      <c r="J65" s="1" t="s">
        <v>241</v>
      </c>
    </row>
    <row r="66" customFormat="false" ht="15" hidden="false" customHeight="true" outlineLevel="0" collapsed="false">
      <c r="B66" s="1" t="s">
        <v>242</v>
      </c>
      <c r="C66" s="1" t="n">
        <v>19</v>
      </c>
      <c r="D66" s="1" t="n">
        <v>19.5</v>
      </c>
      <c r="E66" s="1" t="n">
        <v>20</v>
      </c>
      <c r="F66" s="1" t="n">
        <v>20</v>
      </c>
      <c r="G66" s="1" t="n">
        <v>20.5</v>
      </c>
      <c r="H66" s="1" t="n">
        <v>20.5</v>
      </c>
      <c r="J66" s="1" t="s">
        <v>243</v>
      </c>
    </row>
    <row r="68" customFormat="false" ht="15" hidden="false" customHeight="true" outlineLevel="0" collapsed="false">
      <c r="B68" s="1" t="s">
        <v>244</v>
      </c>
      <c r="C68" s="1" t="n">
        <v>69.5</v>
      </c>
      <c r="D68" s="1" t="n">
        <v>66.5</v>
      </c>
      <c r="E68" s="1" t="n">
        <v>65</v>
      </c>
      <c r="F68" s="1" t="n">
        <v>64.5</v>
      </c>
      <c r="G68" s="1" t="n">
        <v>64.5</v>
      </c>
      <c r="H68" s="1" t="n">
        <v>64.5</v>
      </c>
      <c r="J68" s="1" t="s">
        <v>245</v>
      </c>
    </row>
    <row r="69" customFormat="false" ht="15" hidden="false" customHeight="true" outlineLevel="0" collapsed="false">
      <c r="B69" s="1" t="s">
        <v>246</v>
      </c>
      <c r="C69" s="1" t="n">
        <v>4.2</v>
      </c>
      <c r="D69" s="1" t="n">
        <v>4.3</v>
      </c>
      <c r="E69" s="1" t="n">
        <v>4.4</v>
      </c>
      <c r="F69" s="1" t="n">
        <v>4.3</v>
      </c>
      <c r="G69" s="1" t="n">
        <v>4.3</v>
      </c>
      <c r="H69" s="1" t="n">
        <v>4.3</v>
      </c>
      <c r="J69" s="1" t="s">
        <v>247</v>
      </c>
    </row>
    <row r="71" customFormat="false" ht="15" hidden="false" customHeight="true" outlineLevel="0" collapsed="false">
      <c r="B71" s="1" t="s">
        <v>248</v>
      </c>
    </row>
    <row r="72" customFormat="false" ht="15" hidden="false" customHeight="true" outlineLevel="0" collapsed="false">
      <c r="B72" s="1" t="s">
        <v>196</v>
      </c>
      <c r="C72" s="1" t="s">
        <v>177</v>
      </c>
      <c r="D72" s="1" t="s">
        <v>178</v>
      </c>
      <c r="E72" s="1" t="s">
        <v>179</v>
      </c>
      <c r="F72" s="1" t="s">
        <v>180</v>
      </c>
      <c r="G72" s="1" t="s">
        <v>181</v>
      </c>
      <c r="H72" s="1" t="s">
        <v>182</v>
      </c>
    </row>
    <row r="73" customFormat="false" ht="15" hidden="false" customHeight="true" outlineLevel="0" collapsed="false">
      <c r="B73" s="1" t="s">
        <v>249</v>
      </c>
      <c r="C73" s="1" t="n">
        <v>0.85</v>
      </c>
      <c r="D73" s="1" t="n">
        <v>0.82</v>
      </c>
      <c r="E73" s="1" t="n">
        <v>0.85</v>
      </c>
      <c r="F73" s="1" t="n">
        <v>0.88</v>
      </c>
      <c r="G73" s="1" t="n">
        <v>0.9</v>
      </c>
      <c r="H73" s="1" t="n">
        <v>0.95</v>
      </c>
      <c r="J73" s="1" t="s">
        <v>250</v>
      </c>
    </row>
    <row r="74" customFormat="false" ht="15" hidden="false" customHeight="true" outlineLevel="0" collapsed="false">
      <c r="B74" s="1" t="s">
        <v>251</v>
      </c>
      <c r="C74" s="1" t="n">
        <f aca="false">1-C73</f>
        <v>0.15</v>
      </c>
      <c r="D74" s="1" t="n">
        <f aca="false">1-D73</f>
        <v>0.18</v>
      </c>
      <c r="E74" s="1" t="n">
        <f aca="false">1-E73</f>
        <v>0.15</v>
      </c>
      <c r="F74" s="1" t="n">
        <f aca="false">1-F73</f>
        <v>0.12</v>
      </c>
      <c r="G74" s="1" t="n">
        <f aca="false">1-G73</f>
        <v>0.1</v>
      </c>
      <c r="H74" s="1" t="n">
        <f aca="false">1-H73</f>
        <v>0.05</v>
      </c>
      <c r="J74" s="1" t="s">
        <v>252</v>
      </c>
    </row>
    <row r="75" customFormat="false" ht="15" hidden="false" customHeight="true" outlineLevel="0" collapsed="false">
      <c r="B75" s="1" t="s">
        <v>253</v>
      </c>
      <c r="C75" s="1" t="n">
        <v>10</v>
      </c>
      <c r="D75" s="1" t="n">
        <v>10.2</v>
      </c>
      <c r="E75" s="1" t="n">
        <v>10.4</v>
      </c>
      <c r="F75" s="1" t="n">
        <v>10.6</v>
      </c>
      <c r="G75" s="1" t="n">
        <v>10.8</v>
      </c>
      <c r="H75" s="1" t="n">
        <v>11</v>
      </c>
      <c r="J75" s="1" t="s">
        <v>254</v>
      </c>
    </row>
  </sheetData>
  <mergeCells count="31">
    <mergeCell ref="B1:J1"/>
    <mergeCell ref="B4:J4"/>
    <mergeCell ref="D5:I5"/>
    <mergeCell ref="D6:I6"/>
    <mergeCell ref="D7:I7"/>
    <mergeCell ref="D8:I8"/>
    <mergeCell ref="D9:I9"/>
    <mergeCell ref="D10:I10"/>
    <mergeCell ref="D11:I11"/>
    <mergeCell ref="D12:I12"/>
    <mergeCell ref="D13:I13"/>
    <mergeCell ref="D14:I14"/>
    <mergeCell ref="D15:I15"/>
    <mergeCell ref="D16:I16"/>
    <mergeCell ref="B18:E18"/>
    <mergeCell ref="B28:J28"/>
    <mergeCell ref="B37:J37"/>
    <mergeCell ref="B45:J45"/>
    <mergeCell ref="D46:I46"/>
    <mergeCell ref="D47:I47"/>
    <mergeCell ref="D48:I48"/>
    <mergeCell ref="D49:I49"/>
    <mergeCell ref="D50:I50"/>
    <mergeCell ref="D51:I51"/>
    <mergeCell ref="D52:I52"/>
    <mergeCell ref="D53:I53"/>
    <mergeCell ref="D54:I54"/>
    <mergeCell ref="B56:J56"/>
    <mergeCell ref="D57:I57"/>
    <mergeCell ref="D58:I58"/>
    <mergeCell ref="D59:I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2"/>
    <col collapsed="false" customWidth="true" hidden="false" outlineLevel="0" max="8" min="3" style="1" width="13"/>
    <col collapsed="false" customWidth="true" hidden="false" outlineLevel="0" max="9" min="9" style="1" width="55"/>
  </cols>
  <sheetData>
    <row r="1" customFormat="false" ht="21.75" hidden="false" customHeight="true" outlineLevel="0" collapsed="false">
      <c r="B1" s="66" t="s">
        <v>255</v>
      </c>
      <c r="C1" s="66"/>
      <c r="D1" s="66"/>
      <c r="E1" s="66"/>
      <c r="F1" s="66"/>
      <c r="G1" s="66"/>
      <c r="H1" s="66"/>
      <c r="I1" s="66"/>
    </row>
    <row r="2" customFormat="false" ht="15" hidden="false" customHeight="true" outlineLevel="0" collapsed="false">
      <c r="B2" s="67" t="s">
        <v>135</v>
      </c>
      <c r="C2" s="68" t="s">
        <v>136</v>
      </c>
      <c r="D2" s="30" t="s">
        <v>256</v>
      </c>
      <c r="E2" s="69" t="s">
        <v>257</v>
      </c>
    </row>
    <row r="4" customFormat="false" ht="15" hidden="false" customHeight="true" outlineLevel="0" collapsed="false">
      <c r="B4" s="70" t="s">
        <v>258</v>
      </c>
      <c r="C4" s="71" t="s">
        <v>259</v>
      </c>
      <c r="D4" s="71" t="s">
        <v>260</v>
      </c>
      <c r="E4" s="71" t="s">
        <v>261</v>
      </c>
      <c r="F4" s="71" t="s">
        <v>262</v>
      </c>
      <c r="G4" s="71" t="s">
        <v>263</v>
      </c>
      <c r="H4" s="71" t="s">
        <v>264</v>
      </c>
    </row>
    <row r="5" customFormat="false" ht="18" hidden="false" customHeight="true" outlineLevel="0" collapsed="false">
      <c r="B5" s="72" t="s">
        <v>265</v>
      </c>
      <c r="C5" s="72"/>
      <c r="D5" s="72"/>
      <c r="E5" s="72"/>
      <c r="F5" s="72"/>
      <c r="G5" s="72"/>
      <c r="H5" s="72"/>
      <c r="I5" s="72"/>
    </row>
    <row r="6" customFormat="false" ht="15" hidden="false" customHeight="true" outlineLevel="0" collapsed="false">
      <c r="B6" s="73" t="s">
        <v>266</v>
      </c>
      <c r="C6" s="74" t="n">
        <v>12206</v>
      </c>
      <c r="D6" s="74" t="n">
        <v>19169</v>
      </c>
      <c r="E6" s="74" t="n">
        <v>15258</v>
      </c>
      <c r="F6" s="74" t="n">
        <v>15938</v>
      </c>
      <c r="G6" s="74" t="n">
        <v>17188</v>
      </c>
      <c r="H6" s="74" t="n">
        <v>3807</v>
      </c>
      <c r="I6" s="75" t="s">
        <v>267</v>
      </c>
    </row>
    <row r="7" customFormat="false" ht="15" hidden="false" customHeight="true" outlineLevel="0" collapsed="false">
      <c r="B7" s="76" t="s">
        <v>268</v>
      </c>
      <c r="C7" s="77" t="s">
        <v>89</v>
      </c>
      <c r="D7" s="78" t="n">
        <f aca="false">D6/C6-1</f>
        <v>0.57045715222022</v>
      </c>
      <c r="E7" s="78" t="n">
        <f aca="false">E6/D6-1</f>
        <v>-0.204027335802598</v>
      </c>
      <c r="F7" s="78" t="n">
        <f aca="false">F6/E6-1</f>
        <v>0.0445667846375673</v>
      </c>
      <c r="G7" s="78" t="n">
        <f aca="false">G6/F6-1</f>
        <v>0.0784289120341322</v>
      </c>
      <c r="H7" s="77" t="s">
        <v>269</v>
      </c>
      <c r="I7" s="75" t="s">
        <v>270</v>
      </c>
    </row>
    <row r="8" customFormat="false" ht="15" hidden="false" customHeight="true" outlineLevel="0" collapsed="false">
      <c r="B8" s="73" t="s">
        <v>271</v>
      </c>
      <c r="C8" s="74" t="n">
        <v>1473</v>
      </c>
      <c r="D8" s="74" t="n">
        <v>2098</v>
      </c>
      <c r="E8" s="74" t="n">
        <v>2476</v>
      </c>
      <c r="F8" s="74" t="n">
        <v>2891</v>
      </c>
      <c r="G8" s="74" t="n">
        <v>3567</v>
      </c>
      <c r="H8" s="74" t="n">
        <v>894</v>
      </c>
      <c r="I8" s="1" t="s">
        <v>272</v>
      </c>
    </row>
    <row r="9" customFormat="false" ht="15" hidden="false" customHeight="true" outlineLevel="0" collapsed="false">
      <c r="B9" s="76" t="s">
        <v>273</v>
      </c>
      <c r="C9" s="78" t="n">
        <f aca="false">C8/C6</f>
        <v>0.120678354907423</v>
      </c>
      <c r="D9" s="78" t="n">
        <f aca="false">D8/D6</f>
        <v>0.109447545516198</v>
      </c>
      <c r="E9" s="78" t="n">
        <f aca="false">E8/E6</f>
        <v>0.162275527592083</v>
      </c>
      <c r="F9" s="78" t="n">
        <f aca="false">F8/F6</f>
        <v>0.181390387752541</v>
      </c>
      <c r="G9" s="78" t="n">
        <f aca="false">G8/G6</f>
        <v>0.207528508261578</v>
      </c>
      <c r="H9" s="78" t="n">
        <f aca="false">H8/H6</f>
        <v>0.234830575256107</v>
      </c>
      <c r="I9" s="75" t="s">
        <v>274</v>
      </c>
    </row>
    <row r="10" customFormat="false" ht="15" hidden="false" customHeight="true" outlineLevel="0" collapsed="false">
      <c r="B10" s="67" t="s">
        <v>275</v>
      </c>
      <c r="C10" s="74" t="n">
        <v>2032</v>
      </c>
      <c r="D10" s="74" t="n">
        <v>2856</v>
      </c>
      <c r="E10" s="74" t="n">
        <v>3855</v>
      </c>
      <c r="F10" s="74" t="n">
        <v>4377</v>
      </c>
      <c r="G10" s="74" t="n">
        <v>5635</v>
      </c>
      <c r="H10" s="74" t="n">
        <v>1547</v>
      </c>
      <c r="I10" s="1" t="s">
        <v>276</v>
      </c>
    </row>
    <row r="11" customFormat="false" ht="15" hidden="false" customHeight="true" outlineLevel="0" collapsed="false">
      <c r="B11" s="76" t="s">
        <v>277</v>
      </c>
      <c r="C11" s="78" t="n">
        <f aca="false">C10/C6</f>
        <v>0.166475503850565</v>
      </c>
      <c r="D11" s="78" t="n">
        <f aca="false">D10/D6</f>
        <v>0.14899055767124</v>
      </c>
      <c r="E11" s="78" t="n">
        <f aca="false">E10/E6</f>
        <v>0.252654345261502</v>
      </c>
      <c r="F11" s="78" t="n">
        <f aca="false">F10/F6</f>
        <v>0.274626678378718</v>
      </c>
      <c r="G11" s="78" t="n">
        <f aca="false">G10/G6</f>
        <v>0.327845008145218</v>
      </c>
      <c r="H11" s="78" t="n">
        <f aca="false">H10/H6</f>
        <v>0.40635671132125</v>
      </c>
      <c r="I11" s="75" t="s">
        <v>278</v>
      </c>
    </row>
    <row r="12" customFormat="false" ht="15" hidden="false" customHeight="true" outlineLevel="0" collapsed="false">
      <c r="B12" s="73" t="s">
        <v>279</v>
      </c>
      <c r="C12" s="74" t="n">
        <v>1763</v>
      </c>
      <c r="D12" s="74" t="n">
        <v>2230</v>
      </c>
      <c r="E12" s="74" t="n">
        <v>2585</v>
      </c>
      <c r="F12" s="74" t="n">
        <v>2810</v>
      </c>
      <c r="G12" s="74" t="n">
        <v>3595</v>
      </c>
      <c r="H12" s="74" t="n">
        <v>904</v>
      </c>
      <c r="I12" s="1" t="s">
        <v>280</v>
      </c>
    </row>
    <row r="13" customFormat="false" ht="15" hidden="false" customHeight="true" outlineLevel="0" collapsed="false">
      <c r="B13" s="76" t="s">
        <v>281</v>
      </c>
      <c r="C13" s="78" t="n">
        <f aca="false">C12/C6</f>
        <v>0.14443716205145</v>
      </c>
      <c r="D13" s="78" t="n">
        <f aca="false">D12/D6</f>
        <v>0.116333663727894</v>
      </c>
      <c r="E13" s="78" t="n">
        <f aca="false">E12/E6</f>
        <v>0.169419321011928</v>
      </c>
      <c r="F13" s="78" t="n">
        <f aca="false">F12/F6</f>
        <v>0.176308194252729</v>
      </c>
      <c r="G13" s="78" t="n">
        <f aca="false">G12/G6</f>
        <v>0.209157551780312</v>
      </c>
      <c r="H13" s="78" t="n">
        <f aca="false">H12/H6</f>
        <v>0.2374573154715</v>
      </c>
      <c r="I13" s="75" t="s">
        <v>282</v>
      </c>
    </row>
    <row r="14" customFormat="false" ht="15" hidden="false" customHeight="true" outlineLevel="0" collapsed="false">
      <c r="B14" s="73" t="s">
        <v>283</v>
      </c>
      <c r="C14" s="74" t="n">
        <v>285</v>
      </c>
      <c r="D14" s="74" t="n">
        <v>366</v>
      </c>
      <c r="E14" s="74" t="n">
        <v>397</v>
      </c>
      <c r="F14" s="74" t="n">
        <v>484</v>
      </c>
      <c r="G14" s="74" t="n">
        <v>492</v>
      </c>
      <c r="H14" s="74" t="n">
        <v>125</v>
      </c>
      <c r="I14" s="1" t="s">
        <v>284</v>
      </c>
    </row>
    <row r="15" customFormat="false" ht="15" hidden="false" customHeight="true" outlineLevel="0" collapsed="false">
      <c r="B15" s="76" t="s">
        <v>285</v>
      </c>
      <c r="C15" s="78" t="n">
        <f aca="false">C14/C6</f>
        <v>0.023349172538096</v>
      </c>
      <c r="D15" s="78" t="n">
        <f aca="false">D14/D6</f>
        <v>0.0190933277687934</v>
      </c>
      <c r="E15" s="78" t="n">
        <f aca="false">E14/E6</f>
        <v>0.0260191375016385</v>
      </c>
      <c r="F15" s="78" t="n">
        <f aca="false">F14/F6</f>
        <v>0.030367674739616</v>
      </c>
      <c r="G15" s="78" t="n">
        <f aca="false">G14/G6</f>
        <v>0.0286246218291832</v>
      </c>
      <c r="H15" s="78" t="n">
        <f aca="false">H14/H6</f>
        <v>0.0328342526924087</v>
      </c>
      <c r="I15" s="75" t="s">
        <v>286</v>
      </c>
    </row>
    <row r="16" customFormat="false" ht="15" hidden="false" customHeight="true" outlineLevel="0" collapsed="false">
      <c r="B16" s="73" t="s">
        <v>287</v>
      </c>
      <c r="C16" s="74" t="n">
        <v>25</v>
      </c>
      <c r="D16" s="74" t="n">
        <v>64</v>
      </c>
      <c r="E16" s="74" t="n">
        <v>49</v>
      </c>
      <c r="F16" s="74" t="n">
        <v>67</v>
      </c>
      <c r="G16" s="74" t="n">
        <v>65</v>
      </c>
      <c r="H16" s="74" t="n">
        <v>62</v>
      </c>
      <c r="I16" s="1" t="s">
        <v>288</v>
      </c>
    </row>
    <row r="17" customFormat="false" ht="15" hidden="false" customHeight="true" outlineLevel="0" collapsed="false">
      <c r="B17" s="76" t="s">
        <v>289</v>
      </c>
      <c r="C17" s="78" t="n">
        <f aca="false">C16/C6</f>
        <v>0.00204817302965755</v>
      </c>
      <c r="D17" s="78" t="n">
        <f aca="false">D16/D6</f>
        <v>0.00333872398142835</v>
      </c>
      <c r="E17" s="78" t="n">
        <f aca="false">E16/E6</f>
        <v>0.00321143006947175</v>
      </c>
      <c r="F17" s="78" t="n">
        <f aca="false">F16/F6</f>
        <v>0.00420378968502949</v>
      </c>
      <c r="G17" s="78" t="n">
        <f aca="false">G16/G6</f>
        <v>0.00378170816848964</v>
      </c>
      <c r="H17" s="78" t="n">
        <f aca="false">H16/H6</f>
        <v>0.0162857893354347</v>
      </c>
      <c r="I17" s="75" t="s">
        <v>290</v>
      </c>
    </row>
    <row r="18" customFormat="false" ht="15" hidden="false" customHeight="true" outlineLevel="0" collapsed="false">
      <c r="B18" s="67" t="s">
        <v>291</v>
      </c>
      <c r="C18" s="74" t="n">
        <f aca="false">C6-C8-C10-C12-C14-C16</f>
        <v>6628</v>
      </c>
      <c r="D18" s="74" t="n">
        <f aca="false">D6-D8-D10-D12-D14-D16</f>
        <v>11555</v>
      </c>
      <c r="E18" s="74" t="n">
        <f aca="false">E6-E8-E10-E12-E14-E16</f>
        <v>5896</v>
      </c>
      <c r="F18" s="74" t="n">
        <f aca="false">F6-F8-F10-F12-F14-F16</f>
        <v>5309</v>
      </c>
      <c r="G18" s="74" t="n">
        <f aca="false">G6-G8-G10-G12-G14-G16</f>
        <v>3834</v>
      </c>
      <c r="H18" s="74" t="n">
        <f aca="false">H6-H8-H10-H12-H14-H16</f>
        <v>275</v>
      </c>
      <c r="I18" s="1" t="s">
        <v>292</v>
      </c>
    </row>
    <row r="19" customFormat="false" ht="15" hidden="false" customHeight="true" outlineLevel="0" collapsed="false">
      <c r="B19" s="76" t="s">
        <v>293</v>
      </c>
      <c r="C19" s="78" t="n">
        <f aca="false">C18/C6</f>
        <v>0.543011633622809</v>
      </c>
      <c r="D19" s="78" t="n">
        <f aca="false">D18/D6</f>
        <v>0.602796181334446</v>
      </c>
      <c r="E19" s="78" t="n">
        <f aca="false">E18/E6</f>
        <v>0.386420238563377</v>
      </c>
      <c r="F19" s="78" t="n">
        <f aca="false">F18/F6</f>
        <v>0.333103275191367</v>
      </c>
      <c r="G19" s="78" t="n">
        <f aca="false">G18/G6</f>
        <v>0.22306260181522</v>
      </c>
      <c r="H19" s="78" t="n">
        <f aca="false">H18/H6</f>
        <v>0.0722353559232992</v>
      </c>
      <c r="I19" s="75" t="s">
        <v>294</v>
      </c>
    </row>
    <row r="20" customFormat="false" ht="15" hidden="false" customHeight="true" outlineLevel="0" collapsed="false">
      <c r="B20" s="76" t="s">
        <v>295</v>
      </c>
      <c r="C20" s="77" t="s">
        <v>89</v>
      </c>
      <c r="D20" s="78" t="n">
        <f aca="false">D18/C18-1</f>
        <v>0.743361496680748</v>
      </c>
      <c r="E20" s="78" t="n">
        <f aca="false">E18/D18-1</f>
        <v>-0.489744699264388</v>
      </c>
      <c r="F20" s="78" t="n">
        <f aca="false">F18/E18-1</f>
        <v>-0.0995590230664858</v>
      </c>
      <c r="G20" s="78" t="n">
        <f aca="false">G18/F18-1</f>
        <v>-0.277830099830477</v>
      </c>
      <c r="H20" s="77" t="s">
        <v>269</v>
      </c>
    </row>
    <row r="21" customFormat="false" ht="15" hidden="false" customHeight="true" outlineLevel="0" collapsed="false">
      <c r="B21" s="73" t="s">
        <v>296</v>
      </c>
      <c r="C21" s="74" t="n">
        <v>247</v>
      </c>
      <c r="D21" s="74" t="n">
        <v>220</v>
      </c>
      <c r="E21" s="74" t="n">
        <v>295</v>
      </c>
      <c r="F21" s="74" t="n">
        <v>369</v>
      </c>
      <c r="G21" s="74" t="n">
        <v>475</v>
      </c>
      <c r="H21" s="74" t="n">
        <v>109</v>
      </c>
      <c r="I21" s="1" t="s">
        <v>297</v>
      </c>
    </row>
    <row r="22" customFormat="false" ht="15" hidden="false" customHeight="true" outlineLevel="0" collapsed="false">
      <c r="B22" s="67" t="s">
        <v>298</v>
      </c>
      <c r="C22" s="74" t="n">
        <f aca="false">C18-C21</f>
        <v>6381</v>
      </c>
      <c r="D22" s="74" t="n">
        <f aca="false">D18-D21</f>
        <v>11335</v>
      </c>
      <c r="E22" s="74" t="n">
        <f aca="false">E18-E21</f>
        <v>5601</v>
      </c>
      <c r="F22" s="74" t="n">
        <f aca="false">F18-F21</f>
        <v>4940</v>
      </c>
      <c r="G22" s="74" t="n">
        <f aca="false">G18-G21</f>
        <v>3359</v>
      </c>
      <c r="H22" s="74" t="n">
        <f aca="false">H18-H21</f>
        <v>166</v>
      </c>
    </row>
    <row r="23" customFormat="false" ht="15" hidden="false" customHeight="true" outlineLevel="0" collapsed="false">
      <c r="B23" s="73" t="s">
        <v>299</v>
      </c>
      <c r="C23" s="74" t="n">
        <v>588</v>
      </c>
      <c r="D23" s="74" t="n">
        <v>1364</v>
      </c>
      <c r="E23" s="74" t="n">
        <v>858</v>
      </c>
      <c r="F23" s="74" t="n">
        <v>619</v>
      </c>
      <c r="G23" s="74" t="n">
        <v>785</v>
      </c>
      <c r="H23" s="74" t="n">
        <v>46</v>
      </c>
      <c r="I23" s="1" t="s">
        <v>300</v>
      </c>
    </row>
    <row r="24" customFormat="false" ht="15" hidden="false" customHeight="true" outlineLevel="0" collapsed="false">
      <c r="B24" s="76" t="s">
        <v>301</v>
      </c>
      <c r="C24" s="78" t="n">
        <f aca="false">C23/C22</f>
        <v>0.0921485660554772</v>
      </c>
      <c r="D24" s="78" t="n">
        <f aca="false">D23/D22</f>
        <v>0.120335244816939</v>
      </c>
      <c r="E24" s="78" t="n">
        <f aca="false">E23/E22</f>
        <v>0.153186930905196</v>
      </c>
      <c r="F24" s="78" t="n">
        <f aca="false">F23/F22</f>
        <v>0.125303643724696</v>
      </c>
      <c r="G24" s="78" t="n">
        <f aca="false">G23/G22</f>
        <v>0.233700506103007</v>
      </c>
      <c r="H24" s="78" t="n">
        <f aca="false">H23/H22</f>
        <v>0.27710843373494</v>
      </c>
      <c r="I24" s="75" t="s">
        <v>302</v>
      </c>
    </row>
    <row r="25" customFormat="false" ht="15" hidden="false" customHeight="true" outlineLevel="0" collapsed="false">
      <c r="B25" s="67" t="s">
        <v>303</v>
      </c>
      <c r="C25" s="74" t="n">
        <v>2813</v>
      </c>
      <c r="D25" s="74" t="n">
        <v>6015</v>
      </c>
      <c r="E25" s="74" t="n">
        <v>3747</v>
      </c>
      <c r="F25" s="74" t="n">
        <v>2891</v>
      </c>
      <c r="G25" s="74" t="n">
        <v>2642</v>
      </c>
      <c r="H25" s="74" t="n">
        <v>120</v>
      </c>
      <c r="I25" s="1" t="s">
        <v>304</v>
      </c>
    </row>
    <row r="26" customFormat="false" ht="15" hidden="false" customHeight="true" outlineLevel="0" collapsed="false">
      <c r="B26" s="76" t="s">
        <v>305</v>
      </c>
      <c r="C26" s="78" t="n">
        <f aca="false">C25/C6</f>
        <v>0.230460429297067</v>
      </c>
      <c r="D26" s="78" t="n">
        <f aca="false">D25/D6</f>
        <v>0.313787886692055</v>
      </c>
      <c r="E26" s="78" t="n">
        <f aca="false">E25/E6</f>
        <v>0.24557609123083</v>
      </c>
      <c r="F26" s="78" t="n">
        <f aca="false">F25/F6</f>
        <v>0.181390387752541</v>
      </c>
      <c r="G26" s="78" t="n">
        <f aca="false">G25/G6</f>
        <v>0.153711892017687</v>
      </c>
      <c r="H26" s="78" t="n">
        <f aca="false">H25/H6</f>
        <v>0.0315208825847124</v>
      </c>
      <c r="I26" s="75" t="s">
        <v>306</v>
      </c>
    </row>
    <row r="27" customFormat="false" ht="15" hidden="false" customHeight="true" outlineLevel="0" collapsed="false">
      <c r="B27" s="76" t="s">
        <v>307</v>
      </c>
      <c r="C27" s="77" t="s">
        <v>89</v>
      </c>
      <c r="D27" s="78" t="n">
        <f aca="false">D25/C25-1</f>
        <v>1.13828652683967</v>
      </c>
      <c r="E27" s="78" t="n">
        <f aca="false">E25/D25-1</f>
        <v>-0.377057356608479</v>
      </c>
      <c r="F27" s="78" t="n">
        <f aca="false">F25/E25-1</f>
        <v>-0.228449426207633</v>
      </c>
      <c r="G27" s="78" t="n">
        <f aca="false">G25/F25-1</f>
        <v>-0.0861293670010377</v>
      </c>
      <c r="H27" s="77" t="s">
        <v>269</v>
      </c>
    </row>
    <row r="28" customFormat="false" ht="15" hidden="false" customHeight="true" outlineLevel="0" collapsed="false">
      <c r="B28" s="73" t="s">
        <v>308</v>
      </c>
      <c r="C28" s="79" t="n">
        <v>4.18</v>
      </c>
      <c r="D28" s="79" t="n">
        <v>9.23</v>
      </c>
      <c r="E28" s="79" t="n">
        <v>5.81</v>
      </c>
      <c r="F28" s="79" t="n">
        <v>4.55</v>
      </c>
      <c r="G28" s="79" t="n">
        <v>4.19</v>
      </c>
      <c r="H28" s="79" t="n">
        <v>0.19</v>
      </c>
      <c r="I28" s="1" t="s">
        <v>309</v>
      </c>
    </row>
    <row r="29" customFormat="false" ht="15" hidden="false" customHeight="true" outlineLevel="0" collapsed="false">
      <c r="B29" s="76" t="s">
        <v>310</v>
      </c>
      <c r="C29" s="77" t="s">
        <v>89</v>
      </c>
      <c r="D29" s="78" t="n">
        <f aca="false">D28/C28-1</f>
        <v>1.20813397129187</v>
      </c>
      <c r="E29" s="78" t="n">
        <f aca="false">E28/D28-1</f>
        <v>-0.370530877573131</v>
      </c>
      <c r="F29" s="78" t="n">
        <f aca="false">F28/E28-1</f>
        <v>-0.216867469879518</v>
      </c>
      <c r="G29" s="78" t="n">
        <f aca="false">G28/F28-1</f>
        <v>-0.079120879120879</v>
      </c>
      <c r="H29" s="77" t="s">
        <v>269</v>
      </c>
      <c r="I29" s="75" t="s">
        <v>311</v>
      </c>
    </row>
    <row r="30" customFormat="false" ht="15" hidden="false" customHeight="true" outlineLevel="0" collapsed="false">
      <c r="B30" s="73" t="s">
        <v>312</v>
      </c>
      <c r="C30" s="80" t="n">
        <v>675</v>
      </c>
      <c r="D30" s="80" t="n">
        <v>652</v>
      </c>
      <c r="E30" s="80" t="n">
        <v>645</v>
      </c>
      <c r="F30" s="80" t="n">
        <v>636</v>
      </c>
      <c r="G30" s="80" t="n">
        <v>631</v>
      </c>
      <c r="H30" s="80" t="n">
        <v>618</v>
      </c>
      <c r="I30" s="1" t="s">
        <v>313</v>
      </c>
    </row>
    <row r="32" customFormat="false" ht="18" hidden="false" customHeight="true" outlineLevel="0" collapsed="false">
      <c r="B32" s="72" t="s">
        <v>314</v>
      </c>
      <c r="C32" s="72"/>
      <c r="D32" s="72"/>
      <c r="E32" s="72"/>
      <c r="F32" s="72"/>
      <c r="G32" s="72"/>
      <c r="H32" s="72"/>
      <c r="I32" s="72"/>
    </row>
    <row r="33" customFormat="false" ht="15" hidden="false" customHeight="true" outlineLevel="0" collapsed="false">
      <c r="B33" s="73" t="s">
        <v>315</v>
      </c>
      <c r="C33" s="74" t="n">
        <v>4899</v>
      </c>
      <c r="D33" s="74" t="n">
        <v>8538</v>
      </c>
      <c r="E33" s="74" t="n">
        <v>6498</v>
      </c>
      <c r="F33" s="74" t="n">
        <v>6906</v>
      </c>
      <c r="G33" s="74" t="n">
        <v>6711</v>
      </c>
      <c r="H33" s="74" t="n">
        <v>1655</v>
      </c>
      <c r="I33" s="75" t="s">
        <v>316</v>
      </c>
    </row>
    <row r="34" customFormat="false" ht="15" hidden="false" customHeight="true" outlineLevel="0" collapsed="false">
      <c r="B34" s="76" t="s">
        <v>317</v>
      </c>
      <c r="C34" s="78" t="n">
        <f aca="false">C33/C6</f>
        <v>0.401359986891693</v>
      </c>
      <c r="D34" s="78" t="n">
        <f aca="false">D33/D6</f>
        <v>0.445406646147426</v>
      </c>
      <c r="E34" s="78" t="n">
        <f aca="false">E33/E6</f>
        <v>0.425874950845458</v>
      </c>
      <c r="F34" s="78" t="n">
        <f aca="false">F33/F6</f>
        <v>0.433304053206174</v>
      </c>
      <c r="G34" s="78" t="n">
        <f aca="false">G33/G6</f>
        <v>0.390446823365139</v>
      </c>
      <c r="H34" s="78" t="n">
        <f aca="false">H33/H6</f>
        <v>0.434725505647491</v>
      </c>
      <c r="I34" s="75" t="s">
        <v>318</v>
      </c>
    </row>
    <row r="35" customFormat="false" ht="15" hidden="false" customHeight="true" outlineLevel="0" collapsed="false">
      <c r="B35" s="76" t="s">
        <v>319</v>
      </c>
      <c r="C35" s="77" t="s">
        <v>89</v>
      </c>
      <c r="D35" s="78" t="n">
        <f aca="false">D33/C33-1</f>
        <v>0.742804654011023</v>
      </c>
      <c r="E35" s="78" t="n">
        <f aca="false">E33/D33-1</f>
        <v>-0.238931834153198</v>
      </c>
      <c r="F35" s="78" t="n">
        <f aca="false">F33/E33-1</f>
        <v>0.0627885503231764</v>
      </c>
      <c r="G35" s="78" t="n">
        <f aca="false">G33/F33-1</f>
        <v>-0.0282363162467419</v>
      </c>
      <c r="H35" s="77" t="s">
        <v>269</v>
      </c>
    </row>
    <row r="36" customFormat="false" ht="15" hidden="false" customHeight="true" outlineLevel="0" collapsed="false">
      <c r="B36" s="73" t="s">
        <v>320</v>
      </c>
      <c r="C36" s="74" t="n">
        <v>1971</v>
      </c>
      <c r="D36" s="74" t="n">
        <v>2517</v>
      </c>
      <c r="E36" s="74" t="n">
        <v>3766</v>
      </c>
      <c r="F36" s="74" t="n">
        <v>3713</v>
      </c>
      <c r="G36" s="74" t="n">
        <v>3713</v>
      </c>
      <c r="H36" s="74" t="n">
        <v>848</v>
      </c>
      <c r="I36" s="1" t="s">
        <v>321</v>
      </c>
    </row>
    <row r="37" customFormat="false" ht="15" hidden="false" customHeight="true" outlineLevel="0" collapsed="false">
      <c r="B37" s="76" t="s">
        <v>322</v>
      </c>
      <c r="C37" s="78" t="n">
        <f aca="false">C36/C6</f>
        <v>0.161477961658201</v>
      </c>
      <c r="D37" s="78" t="n">
        <f aca="false">D36/D6</f>
        <v>0.131305754082112</v>
      </c>
      <c r="E37" s="78" t="n">
        <f aca="false">E36/E6</f>
        <v>0.246821339625115</v>
      </c>
      <c r="F37" s="78" t="n">
        <f aca="false">F36/F6</f>
        <v>0.232965240306186</v>
      </c>
      <c r="G37" s="78" t="n">
        <f aca="false">G36/G6</f>
        <v>0.216022806609262</v>
      </c>
      <c r="H37" s="78" t="n">
        <f aca="false">H36/H6</f>
        <v>0.222747570265301</v>
      </c>
      <c r="I37" s="75" t="s">
        <v>323</v>
      </c>
    </row>
    <row r="38" customFormat="false" ht="15" hidden="false" customHeight="true" outlineLevel="0" collapsed="false">
      <c r="B38" s="76" t="s">
        <v>324</v>
      </c>
      <c r="C38" s="77" t="s">
        <v>89</v>
      </c>
      <c r="D38" s="78" t="n">
        <f aca="false">D36/C36-1</f>
        <v>0.277016742770168</v>
      </c>
      <c r="E38" s="78" t="n">
        <f aca="false">E36/D36-1</f>
        <v>0.496225665474772</v>
      </c>
      <c r="F38" s="78" t="n">
        <f aca="false">F36/E36-1</f>
        <v>-0.014073287307488</v>
      </c>
      <c r="G38" s="78" t="n">
        <f aca="false">G36/F36-1</f>
        <v>0</v>
      </c>
      <c r="H38" s="77" t="s">
        <v>269</v>
      </c>
      <c r="I38" s="75" t="s">
        <v>325</v>
      </c>
    </row>
    <row r="39" customFormat="false" ht="15" hidden="false" customHeight="true" outlineLevel="0" collapsed="false">
      <c r="B39" s="67" t="s">
        <v>326</v>
      </c>
      <c r="C39" s="74" t="n">
        <f aca="false">C33-C36</f>
        <v>2928</v>
      </c>
      <c r="D39" s="74" t="n">
        <f aca="false">D33-D36</f>
        <v>6021</v>
      </c>
      <c r="E39" s="74" t="n">
        <f aca="false">E33-E36</f>
        <v>2732</v>
      </c>
      <c r="F39" s="74" t="n">
        <f aca="false">F33-F36</f>
        <v>3193</v>
      </c>
      <c r="G39" s="74" t="n">
        <f aca="false">G33-G36</f>
        <v>2998</v>
      </c>
      <c r="H39" s="74" t="n">
        <f aca="false">H33-H36</f>
        <v>807</v>
      </c>
    </row>
    <row r="40" customFormat="false" ht="15" hidden="false" customHeight="true" outlineLevel="0" collapsed="false">
      <c r="B40" s="76" t="s">
        <v>327</v>
      </c>
      <c r="C40" s="78" t="n">
        <f aca="false">C39/C6</f>
        <v>0.239882025233492</v>
      </c>
      <c r="D40" s="78" t="n">
        <f aca="false">D39/D6</f>
        <v>0.314100892065314</v>
      </c>
      <c r="E40" s="78" t="n">
        <f aca="false">E39/E6</f>
        <v>0.179053611220343</v>
      </c>
      <c r="F40" s="78" t="n">
        <f aca="false">F39/F6</f>
        <v>0.200338812899987</v>
      </c>
      <c r="G40" s="78" t="n">
        <f aca="false">G39/G6</f>
        <v>0.174424016755876</v>
      </c>
      <c r="H40" s="78" t="n">
        <f aca="false">H39/H6</f>
        <v>0.211977935382191</v>
      </c>
      <c r="I40" s="75" t="s">
        <v>328</v>
      </c>
    </row>
    <row r="41" customFormat="false" ht="15" hidden="false" customHeight="true" outlineLevel="0" collapsed="false">
      <c r="B41" s="76" t="s">
        <v>329</v>
      </c>
      <c r="C41" s="78" t="n">
        <f aca="false">C39/C25</f>
        <v>1.04088162104515</v>
      </c>
      <c r="D41" s="78" t="n">
        <f aca="false">D39/D25</f>
        <v>1.00099750623441</v>
      </c>
      <c r="E41" s="78" t="n">
        <f aca="false">E39/E25</f>
        <v>0.729116626634641</v>
      </c>
      <c r="F41" s="78" t="n">
        <f aca="false">F39/F25</f>
        <v>1.10446212383258</v>
      </c>
      <c r="G41" s="78" t="n">
        <f aca="false">G39/G25</f>
        <v>1.13474640423921</v>
      </c>
      <c r="H41" s="78" t="n">
        <f aca="false">H39/H25</f>
        <v>6.725</v>
      </c>
      <c r="I41" s="75" t="s">
        <v>330</v>
      </c>
    </row>
    <row r="42" customFormat="false" ht="15" hidden="false" customHeight="true" outlineLevel="0" collapsed="false">
      <c r="B42" s="76" t="s">
        <v>331</v>
      </c>
      <c r="C42" s="77" t="s">
        <v>89</v>
      </c>
      <c r="D42" s="78" t="n">
        <f aca="false">D39/C39-1</f>
        <v>1.05635245901639</v>
      </c>
      <c r="E42" s="78" t="n">
        <f aca="false">E39/D39-1</f>
        <v>-0.546254774954327</v>
      </c>
      <c r="F42" s="78" t="n">
        <f aca="false">F39/E39-1</f>
        <v>0.168740849194729</v>
      </c>
      <c r="G42" s="78" t="n">
        <f aca="false">G39/F39-1</f>
        <v>-0.0610710930159725</v>
      </c>
      <c r="H42" s="77" t="s">
        <v>269</v>
      </c>
    </row>
    <row r="43" customFormat="false" ht="15" hidden="false" customHeight="true" outlineLevel="0" collapsed="false">
      <c r="B43" s="73" t="s">
        <v>332</v>
      </c>
      <c r="C43" s="74" t="n">
        <f aca="false">C12</f>
        <v>1763</v>
      </c>
      <c r="D43" s="74" t="n">
        <f aca="false">D12</f>
        <v>2230</v>
      </c>
      <c r="E43" s="74" t="n">
        <f aca="false">E12</f>
        <v>2585</v>
      </c>
      <c r="F43" s="74" t="n">
        <f aca="false">F12</f>
        <v>2810</v>
      </c>
      <c r="G43" s="74" t="n">
        <f aca="false">G12</f>
        <v>3595</v>
      </c>
      <c r="H43" s="74" t="n">
        <f aca="false">H12</f>
        <v>904</v>
      </c>
    </row>
    <row r="44" customFormat="false" ht="15" hidden="false" customHeight="true" outlineLevel="0" collapsed="false">
      <c r="B44" s="76" t="s">
        <v>333</v>
      </c>
      <c r="C44" s="78" t="n">
        <f aca="false">C43/C6</f>
        <v>0.14443716205145</v>
      </c>
      <c r="D44" s="78" t="n">
        <f aca="false">D43/D6</f>
        <v>0.116333663727894</v>
      </c>
      <c r="E44" s="78" t="n">
        <f aca="false">E43/E6</f>
        <v>0.169419321011928</v>
      </c>
      <c r="F44" s="78" t="n">
        <f aca="false">F43/F6</f>
        <v>0.176308194252729</v>
      </c>
      <c r="G44" s="78" t="n">
        <f aca="false">G43/G6</f>
        <v>0.209157551780312</v>
      </c>
      <c r="H44" s="78" t="n">
        <f aca="false">H43/H6</f>
        <v>0.2374573154715</v>
      </c>
      <c r="I44" s="75" t="s">
        <v>334</v>
      </c>
    </row>
    <row r="45" customFormat="false" ht="15" hidden="false" customHeight="true" outlineLevel="0" collapsed="false">
      <c r="B45" s="73" t="s">
        <v>335</v>
      </c>
      <c r="C45" s="74" t="n">
        <v>70</v>
      </c>
      <c r="D45" s="74" t="n">
        <v>78</v>
      </c>
      <c r="E45" s="74" t="n">
        <v>85</v>
      </c>
      <c r="F45" s="74" t="n">
        <v>105</v>
      </c>
      <c r="G45" s="74" t="n">
        <v>99</v>
      </c>
      <c r="H45" s="74" t="n">
        <v>22</v>
      </c>
      <c r="I45" s="1" t="s">
        <v>336</v>
      </c>
    </row>
    <row r="46" customFormat="false" ht="15" hidden="false" customHeight="true" outlineLevel="0" collapsed="false">
      <c r="B46" s="76" t="s">
        <v>337</v>
      </c>
      <c r="C46" s="78" t="n">
        <f aca="false">C45/C6</f>
        <v>0.00573488448304113</v>
      </c>
      <c r="D46" s="78" t="n">
        <f aca="false">D45/D6</f>
        <v>0.0040690698523658</v>
      </c>
      <c r="E46" s="78" t="n">
        <f aca="false">E45/E6</f>
        <v>0.0055708480796959</v>
      </c>
      <c r="F46" s="78" t="n">
        <f aca="false">F45/F6</f>
        <v>0.00658802861086711</v>
      </c>
      <c r="G46" s="78" t="n">
        <f aca="false">G45/G6</f>
        <v>0.00575983244123807</v>
      </c>
      <c r="H46" s="78" t="n">
        <f aca="false">H45/H6</f>
        <v>0.00577882847386394</v>
      </c>
      <c r="I46" s="75" t="s">
        <v>338</v>
      </c>
    </row>
    <row r="47" customFormat="false" ht="15" hidden="false" customHeight="true" outlineLevel="0" collapsed="false">
      <c r="B47" s="73" t="s">
        <v>339</v>
      </c>
      <c r="C47" s="74" t="n">
        <v>691</v>
      </c>
      <c r="D47" s="74" t="n">
        <v>2868</v>
      </c>
      <c r="E47" s="74" t="n">
        <v>2017</v>
      </c>
      <c r="F47" s="74" t="n">
        <v>596</v>
      </c>
      <c r="G47" s="74" t="n">
        <v>619</v>
      </c>
      <c r="H47" s="74" t="n">
        <v>155</v>
      </c>
      <c r="I47" s="1" t="s">
        <v>340</v>
      </c>
    </row>
    <row r="48" customFormat="false" ht="15" hidden="false" customHeight="true" outlineLevel="0" collapsed="false">
      <c r="B48" s="73" t="s">
        <v>341</v>
      </c>
      <c r="C48" s="74" t="n">
        <v>590</v>
      </c>
      <c r="D48" s="74" t="n">
        <v>1216</v>
      </c>
      <c r="E48" s="74" t="n">
        <v>691</v>
      </c>
      <c r="F48" s="74" t="n">
        <v>715</v>
      </c>
      <c r="G48" s="74" t="n">
        <v>1050</v>
      </c>
      <c r="H48" s="74" t="n">
        <v>69</v>
      </c>
      <c r="I48" s="1" t="s">
        <v>342</v>
      </c>
    </row>
    <row r="49" customFormat="false" ht="15" hidden="false" customHeight="true" outlineLevel="0" collapsed="false">
      <c r="B49" s="67" t="s">
        <v>343</v>
      </c>
      <c r="C49" s="81" t="n">
        <f aca="false">C47+C48</f>
        <v>1281</v>
      </c>
      <c r="D49" s="81" t="n">
        <f aca="false">D47+D48</f>
        <v>4084</v>
      </c>
      <c r="E49" s="81" t="n">
        <f aca="false">E47+E48</f>
        <v>2708</v>
      </c>
      <c r="F49" s="81" t="n">
        <f aca="false">F47+F48</f>
        <v>1311</v>
      </c>
      <c r="G49" s="81" t="n">
        <f aca="false">G47+G48</f>
        <v>1669</v>
      </c>
      <c r="H49" s="81" t="n">
        <f aca="false">H47+H48</f>
        <v>224</v>
      </c>
    </row>
    <row r="50" customFormat="false" ht="15" hidden="false" customHeight="true" outlineLevel="0" collapsed="false">
      <c r="B50" s="76" t="s">
        <v>344</v>
      </c>
      <c r="C50" s="78" t="n">
        <f aca="false">C49/C39</f>
        <v>0.4375</v>
      </c>
      <c r="D50" s="78" t="n">
        <f aca="false">D49/D39</f>
        <v>0.678292642418203</v>
      </c>
      <c r="E50" s="78" t="n">
        <f aca="false">E49/E39</f>
        <v>0.991215226939971</v>
      </c>
      <c r="F50" s="78" t="n">
        <f aca="false">F49/F39</f>
        <v>0.410585656122769</v>
      </c>
      <c r="G50" s="78" t="n">
        <f aca="false">G49/G39</f>
        <v>0.556704469646431</v>
      </c>
      <c r="H50" s="78" t="n">
        <f aca="false">H49/H39</f>
        <v>0.277571251548947</v>
      </c>
      <c r="I50" s="75" t="s">
        <v>345</v>
      </c>
    </row>
    <row r="52" customFormat="false" ht="18" hidden="false" customHeight="true" outlineLevel="0" collapsed="false">
      <c r="B52" s="72" t="s">
        <v>346</v>
      </c>
      <c r="C52" s="72"/>
      <c r="D52" s="72"/>
      <c r="E52" s="72"/>
      <c r="F52" s="72"/>
      <c r="G52" s="72"/>
      <c r="H52" s="72"/>
      <c r="I52" s="72"/>
    </row>
    <row r="53" customFormat="false" ht="15" hidden="false" customHeight="true" outlineLevel="0" collapsed="false">
      <c r="B53" s="73" t="s">
        <v>347</v>
      </c>
      <c r="C53" s="74" t="n">
        <v>2268</v>
      </c>
      <c r="D53" s="74" t="n">
        <v>1454</v>
      </c>
      <c r="E53" s="74" t="n">
        <v>875</v>
      </c>
      <c r="F53" s="74" t="n">
        <v>846</v>
      </c>
      <c r="G53" s="74" t="n">
        <v>1434</v>
      </c>
      <c r="H53" s="74" t="n">
        <v>1815</v>
      </c>
      <c r="I53" s="1" t="s">
        <v>348</v>
      </c>
    </row>
    <row r="54" customFormat="false" ht="15" hidden="false" customHeight="true" outlineLevel="0" collapsed="false">
      <c r="B54" s="73" t="s">
        <v>349</v>
      </c>
      <c r="C54" s="74" t="n">
        <v>200</v>
      </c>
      <c r="D54" s="74" t="n">
        <v>280</v>
      </c>
      <c r="E54" s="74" t="n">
        <v>510</v>
      </c>
      <c r="F54" s="74" t="n">
        <v>712</v>
      </c>
      <c r="G54" s="74" t="n">
        <v>727</v>
      </c>
      <c r="H54" s="74" t="n">
        <v>715</v>
      </c>
      <c r="I54" s="1" t="s">
        <v>350</v>
      </c>
    </row>
    <row r="55" customFormat="false" ht="15" hidden="false" customHeight="true" outlineLevel="0" collapsed="false">
      <c r="B55" s="73" t="s">
        <v>351</v>
      </c>
      <c r="C55" s="74" t="n">
        <v>1565</v>
      </c>
      <c r="D55" s="74" t="n">
        <v>2102</v>
      </c>
      <c r="E55" s="74" t="n">
        <v>1740</v>
      </c>
      <c r="F55" s="74" t="n">
        <v>2225</v>
      </c>
      <c r="G55" s="74" t="n">
        <v>1792</v>
      </c>
      <c r="H55" s="74" t="n">
        <v>2250</v>
      </c>
    </row>
    <row r="56" customFormat="false" ht="15" hidden="false" customHeight="true" outlineLevel="0" collapsed="false">
      <c r="B56" s="73" t="s">
        <v>352</v>
      </c>
      <c r="C56" s="74" t="n">
        <v>15263</v>
      </c>
      <c r="D56" s="74" t="n">
        <v>14914</v>
      </c>
      <c r="E56" s="74" t="n">
        <v>16906</v>
      </c>
      <c r="F56" s="74" t="n">
        <v>25025</v>
      </c>
      <c r="G56" s="74" t="n">
        <v>25419</v>
      </c>
      <c r="H56" s="74" t="n">
        <v>25598</v>
      </c>
      <c r="I56" s="1" t="s">
        <v>353</v>
      </c>
    </row>
    <row r="57" customFormat="false" ht="15" hidden="false" customHeight="true" outlineLevel="0" collapsed="false">
      <c r="B57" s="73" t="s">
        <v>354</v>
      </c>
      <c r="C57" s="74" t="n">
        <v>800</v>
      </c>
      <c r="D57" s="74" t="n">
        <v>800</v>
      </c>
      <c r="E57" s="74" t="n">
        <v>800</v>
      </c>
      <c r="F57" s="74" t="n">
        <v>1015</v>
      </c>
      <c r="G57" s="74" t="n">
        <v>1052</v>
      </c>
      <c r="H57" s="74" t="n">
        <v>1065</v>
      </c>
    </row>
    <row r="58" customFormat="false" ht="15" hidden="false" customHeight="true" outlineLevel="0" collapsed="false">
      <c r="B58" s="67" t="s">
        <v>355</v>
      </c>
      <c r="C58" s="74" t="n">
        <v>21025</v>
      </c>
      <c r="D58" s="74" t="n">
        <v>23721</v>
      </c>
      <c r="E58" s="74" t="n">
        <v>23943</v>
      </c>
      <c r="F58" s="74" t="n">
        <v>30904</v>
      </c>
      <c r="G58" s="74" t="n">
        <v>31599</v>
      </c>
      <c r="H58" s="74" t="n">
        <v>32543</v>
      </c>
      <c r="I58" s="1" t="s">
        <v>356</v>
      </c>
    </row>
    <row r="59" customFormat="false" ht="15" hidden="false" customHeight="true" outlineLevel="0" collapsed="false">
      <c r="B59" s="73" t="s">
        <v>357</v>
      </c>
      <c r="C59" s="74" t="n">
        <v>6531</v>
      </c>
      <c r="D59" s="74" t="n">
        <v>6452</v>
      </c>
      <c r="E59" s="74" t="n">
        <v>6149</v>
      </c>
      <c r="F59" s="74" t="n">
        <v>8880</v>
      </c>
      <c r="G59" s="74" t="n">
        <v>8389</v>
      </c>
      <c r="H59" s="74" t="n">
        <v>8386</v>
      </c>
      <c r="I59" s="1" t="s">
        <v>358</v>
      </c>
    </row>
    <row r="60" customFormat="false" ht="15" hidden="false" customHeight="true" outlineLevel="0" collapsed="false">
      <c r="B60" s="67" t="s">
        <v>359</v>
      </c>
      <c r="C60" s="74" t="n">
        <v>7188</v>
      </c>
      <c r="D60" s="74" t="n">
        <v>8662</v>
      </c>
      <c r="E60" s="74" t="n">
        <v>9214</v>
      </c>
      <c r="F60" s="74" t="n">
        <v>13988</v>
      </c>
      <c r="G60" s="74" t="n">
        <v>15528</v>
      </c>
      <c r="H60" s="74" t="n">
        <v>15428</v>
      </c>
      <c r="I60" s="1" t="s">
        <v>360</v>
      </c>
    </row>
    <row r="61" customFormat="false" ht="15" hidden="false" customHeight="true" outlineLevel="0" collapsed="false">
      <c r="B61" s="73" t="s">
        <v>361</v>
      </c>
      <c r="C61" s="74" t="n">
        <v>4150</v>
      </c>
      <c r="D61" s="74" t="n">
        <v>3990</v>
      </c>
      <c r="E61" s="74" t="n">
        <v>3540</v>
      </c>
      <c r="F61" s="74" t="n">
        <v>6438</v>
      </c>
      <c r="G61" s="74" t="n">
        <v>5450</v>
      </c>
      <c r="H61" s="74" t="n">
        <v>5378</v>
      </c>
    </row>
    <row r="62" customFormat="false" ht="15" hidden="false" customHeight="true" outlineLevel="0" collapsed="false">
      <c r="B62" s="73" t="s">
        <v>362</v>
      </c>
      <c r="C62" s="74" t="n">
        <v>3145</v>
      </c>
      <c r="D62" s="74" t="n">
        <v>4790</v>
      </c>
      <c r="E62" s="74" t="n">
        <v>5790</v>
      </c>
      <c r="F62" s="74" t="n">
        <v>7674</v>
      </c>
      <c r="G62" s="74" t="n">
        <v>10200</v>
      </c>
      <c r="H62" s="74" t="n">
        <v>10171</v>
      </c>
    </row>
    <row r="63" customFormat="false" ht="15" hidden="false" customHeight="true" outlineLevel="0" collapsed="false">
      <c r="B63" s="73" t="s">
        <v>363</v>
      </c>
      <c r="C63" s="74" t="n">
        <v>1500</v>
      </c>
      <c r="D63" s="74" t="n">
        <v>1600</v>
      </c>
      <c r="E63" s="74" t="n">
        <v>1700</v>
      </c>
      <c r="F63" s="74" t="n">
        <v>1850</v>
      </c>
      <c r="G63" s="74" t="n">
        <v>1770</v>
      </c>
      <c r="H63" s="74" t="n">
        <v>1926</v>
      </c>
    </row>
    <row r="64" customFormat="false" ht="15" hidden="false" customHeight="true" outlineLevel="0" collapsed="false">
      <c r="B64" s="73" t="s">
        <v>364</v>
      </c>
      <c r="C64" s="82" t="n">
        <v>1597</v>
      </c>
      <c r="D64" s="82" t="n">
        <v>1839</v>
      </c>
      <c r="E64" s="82" t="n">
        <v>1825</v>
      </c>
      <c r="F64" s="82" t="n">
        <v>2210</v>
      </c>
      <c r="G64" s="82" t="n">
        <v>2428</v>
      </c>
      <c r="H64" s="74" t="s">
        <v>365</v>
      </c>
      <c r="I64" s="1" t="s">
        <v>366</v>
      </c>
    </row>
    <row r="66" customFormat="false" ht="15" hidden="false" customHeight="true" outlineLevel="0" collapsed="false">
      <c r="B66" s="83" t="s">
        <v>367</v>
      </c>
      <c r="C66" s="83"/>
      <c r="D66" s="83"/>
      <c r="E66" s="83"/>
      <c r="F66" s="83"/>
      <c r="G66" s="83"/>
      <c r="H66" s="83"/>
      <c r="I66" s="83"/>
    </row>
    <row r="67" customFormat="false" ht="15" hidden="false" customHeight="true" outlineLevel="0" collapsed="false">
      <c r="B67" s="73" t="s">
        <v>368</v>
      </c>
      <c r="C67" s="84" t="n">
        <f aca="false">C53-C59</f>
        <v>-4263</v>
      </c>
      <c r="D67" s="84" t="n">
        <f aca="false">D53-D59</f>
        <v>-4998</v>
      </c>
      <c r="E67" s="84" t="n">
        <f aca="false">E53-E59</f>
        <v>-5274</v>
      </c>
      <c r="F67" s="84" t="n">
        <f aca="false">F53-F59</f>
        <v>-8034</v>
      </c>
      <c r="G67" s="84" t="n">
        <f aca="false">G53-G59</f>
        <v>-6955</v>
      </c>
      <c r="H67" s="84" t="n">
        <f aca="false">H53-H59</f>
        <v>-6571</v>
      </c>
    </row>
    <row r="68" customFormat="false" ht="15" hidden="false" customHeight="true" outlineLevel="0" collapsed="false">
      <c r="B68" s="76" t="s">
        <v>369</v>
      </c>
      <c r="C68" s="85" t="n">
        <f aca="false">C59/C60</f>
        <v>0.908597662771286</v>
      </c>
      <c r="D68" s="85" t="n">
        <f aca="false">D59/D60</f>
        <v>0.744862618332949</v>
      </c>
      <c r="E68" s="85" t="n">
        <f aca="false">E59/E60</f>
        <v>0.667354026481441</v>
      </c>
      <c r="F68" s="85" t="n">
        <f aca="false">F59/F60</f>
        <v>0.634829854160709</v>
      </c>
      <c r="G68" s="85" t="n">
        <f aca="false">G59/G60</f>
        <v>0.540249871200412</v>
      </c>
      <c r="H68" s="85" t="n">
        <f aca="false">H59/H60</f>
        <v>0.543557168784029</v>
      </c>
      <c r="I68" s="75" t="s">
        <v>370</v>
      </c>
    </row>
    <row r="69" customFormat="false" ht="15" hidden="false" customHeight="true" outlineLevel="0" collapsed="false">
      <c r="B69" s="76" t="s">
        <v>371</v>
      </c>
      <c r="C69" s="78" t="n">
        <f aca="false">C56/C6</f>
        <v>1.25045059806652</v>
      </c>
      <c r="D69" s="78" t="n">
        <f aca="false">D56/D6</f>
        <v>0.778027022797225</v>
      </c>
      <c r="E69" s="78" t="n">
        <f aca="false">E56/E6</f>
        <v>1.10800891335693</v>
      </c>
      <c r="F69" s="78" t="n">
        <f aca="false">F56/F6</f>
        <v>1.57014681892333</v>
      </c>
      <c r="G69" s="78" t="n">
        <f aca="false">G56/G6</f>
        <v>1.47888061438213</v>
      </c>
      <c r="H69" s="78" t="n">
        <f aca="false">H56/H6</f>
        <v>6.72392960336223</v>
      </c>
      <c r="I69" s="75" t="s">
        <v>372</v>
      </c>
    </row>
    <row r="70" customFormat="false" ht="15" hidden="false" customHeight="true" outlineLevel="0" collapsed="false">
      <c r="B70" s="76" t="s">
        <v>373</v>
      </c>
      <c r="C70" s="85" t="n">
        <f aca="false">C6/C58</f>
        <v>0.580546967895363</v>
      </c>
      <c r="D70" s="85" t="n">
        <f aca="false">D6/D58</f>
        <v>0.808102525188651</v>
      </c>
      <c r="E70" s="85" t="n">
        <f aca="false">E6/E58</f>
        <v>0.637263500814434</v>
      </c>
      <c r="F70" s="85" t="n">
        <f aca="false">F6/F58</f>
        <v>0.515726119596169</v>
      </c>
      <c r="G70" s="85" t="n">
        <f aca="false">G6/G58</f>
        <v>0.54394126396405</v>
      </c>
      <c r="H70" s="85" t="n">
        <f aca="false">H6/H58</f>
        <v>0.11698368312694</v>
      </c>
      <c r="I70" s="75" t="s">
        <v>374</v>
      </c>
    </row>
    <row r="72" customFormat="false" ht="18" hidden="false" customHeight="true" outlineLevel="0" collapsed="false">
      <c r="B72" s="72" t="s">
        <v>375</v>
      </c>
      <c r="C72" s="72"/>
      <c r="D72" s="72"/>
      <c r="E72" s="72"/>
      <c r="F72" s="72"/>
      <c r="G72" s="72"/>
      <c r="H72" s="72"/>
      <c r="I72" s="72"/>
    </row>
    <row r="73" customFormat="false" ht="15" hidden="false" customHeight="true" outlineLevel="0" collapsed="false">
      <c r="B73" s="75" t="s">
        <v>376</v>
      </c>
    </row>
    <row r="74" customFormat="false" ht="15" hidden="false" customHeight="true" outlineLevel="0" collapsed="false">
      <c r="B74" s="73" t="s">
        <v>377</v>
      </c>
      <c r="C74" s="86" t="n">
        <v>6112</v>
      </c>
      <c r="D74" s="86" t="n">
        <v>10103</v>
      </c>
      <c r="E74" s="86" t="n">
        <v>8870</v>
      </c>
      <c r="F74" s="74" t="n">
        <v>9347</v>
      </c>
      <c r="G74" s="74" t="n">
        <v>8906</v>
      </c>
      <c r="H74" s="86" t="n">
        <v>2461</v>
      </c>
      <c r="I74" s="1" t="s">
        <v>378</v>
      </c>
    </row>
    <row r="75" customFormat="false" ht="15" hidden="false" customHeight="true" outlineLevel="0" collapsed="false">
      <c r="B75" s="73" t="s">
        <v>379</v>
      </c>
      <c r="C75" s="86" t="n">
        <v>1138</v>
      </c>
      <c r="D75" s="86" t="n">
        <v>1840</v>
      </c>
      <c r="E75" s="86" t="n">
        <v>695</v>
      </c>
      <c r="F75" s="74" t="n">
        <v>397</v>
      </c>
      <c r="G75" s="74" t="n">
        <v>842</v>
      </c>
      <c r="H75" s="86" t="n">
        <v>205</v>
      </c>
      <c r="I75" s="1" t="s">
        <v>380</v>
      </c>
    </row>
    <row r="76" customFormat="false" ht="15" hidden="false" customHeight="true" outlineLevel="0" collapsed="false">
      <c r="B76" s="73" t="s">
        <v>381</v>
      </c>
      <c r="C76" s="86" t="n">
        <v>1496</v>
      </c>
      <c r="D76" s="86" t="n">
        <v>1853</v>
      </c>
      <c r="E76" s="86" t="n">
        <v>1212</v>
      </c>
      <c r="F76" s="74" t="n">
        <v>1407</v>
      </c>
      <c r="G76" s="74" t="n">
        <v>1475</v>
      </c>
      <c r="H76" s="86" t="n">
        <v>349</v>
      </c>
      <c r="I76" s="1" t="s">
        <v>382</v>
      </c>
    </row>
    <row r="77" customFormat="false" ht="15" hidden="false" customHeight="true" outlineLevel="0" collapsed="false">
      <c r="B77" s="73" t="s">
        <v>383</v>
      </c>
      <c r="C77" s="86" t="n">
        <v>2017</v>
      </c>
      <c r="D77" s="86" t="n">
        <v>2914</v>
      </c>
      <c r="E77" s="86" t="n">
        <v>4072</v>
      </c>
      <c r="F77" s="74" t="n">
        <v>4413</v>
      </c>
      <c r="G77" s="74" t="n">
        <v>5563</v>
      </c>
      <c r="H77" s="86" t="n">
        <v>1531</v>
      </c>
      <c r="I77" s="1" t="s">
        <v>384</v>
      </c>
    </row>
    <row r="78" customFormat="false" ht="15" hidden="false" customHeight="true" outlineLevel="0" collapsed="false">
      <c r="B78" s="73" t="s">
        <v>385</v>
      </c>
      <c r="C78" s="86" t="n">
        <v>-2700</v>
      </c>
      <c r="D78" s="86" t="n">
        <v>-2030</v>
      </c>
      <c r="E78" s="86" t="n">
        <v>305</v>
      </c>
      <c r="F78" s="74" t="n">
        <v>365</v>
      </c>
      <c r="G78" s="74" t="n">
        <v>161</v>
      </c>
      <c r="H78" s="86" t="n">
        <v>-701</v>
      </c>
      <c r="I78" s="1" t="s">
        <v>386</v>
      </c>
    </row>
    <row r="79" customFormat="false" ht="15" hidden="false" customHeight="true" outlineLevel="0" collapsed="false">
      <c r="B79" s="73" t="s">
        <v>387</v>
      </c>
      <c r="C79" s="86" t="n">
        <f aca="false">C74+C75+C76-C8</f>
        <v>7273</v>
      </c>
      <c r="D79" s="86" t="n">
        <f aca="false">D74+D75+D76-D8</f>
        <v>11698</v>
      </c>
      <c r="E79" s="86" t="n">
        <f aca="false">E74+E75+E76-E8</f>
        <v>8301</v>
      </c>
      <c r="F79" s="74" t="n">
        <f aca="false">F74+F75+F76-F8</f>
        <v>8260</v>
      </c>
      <c r="G79" s="74" t="n">
        <f aca="false">G74+G75+G76-G8</f>
        <v>7656</v>
      </c>
      <c r="H79" s="86" t="n">
        <f aca="false">H74+H75+H76-H8</f>
        <v>2121</v>
      </c>
      <c r="I79" s="1" t="s">
        <v>388</v>
      </c>
    </row>
    <row r="81" customFormat="false" ht="15" hidden="false" customHeight="true" outlineLevel="0" collapsed="false">
      <c r="B81" s="20" t="s">
        <v>389</v>
      </c>
    </row>
    <row r="82" customFormat="false" ht="15" hidden="false" customHeight="true" outlineLevel="0" collapsed="false">
      <c r="B82" s="76" t="s">
        <v>390</v>
      </c>
      <c r="C82" s="77" t="s">
        <v>365</v>
      </c>
      <c r="D82" s="77" t="s">
        <v>365</v>
      </c>
      <c r="E82" s="77" t="s">
        <v>365</v>
      </c>
      <c r="F82" s="78" t="n">
        <f aca="false">IFERROR(F77/F74,"n/d")</f>
        <v>0.472130095217717</v>
      </c>
      <c r="G82" s="78" t="n">
        <f aca="false">IFERROR(G77/G74,"n/d")</f>
        <v>0.624635077475859</v>
      </c>
      <c r="H82" s="77" t="s">
        <v>365</v>
      </c>
    </row>
    <row r="83" customFormat="false" ht="15" hidden="false" customHeight="true" outlineLevel="0" collapsed="false">
      <c r="B83" s="76" t="s">
        <v>391</v>
      </c>
      <c r="C83" s="77" t="n">
        <v>106</v>
      </c>
      <c r="D83" s="77" t="n">
        <v>109</v>
      </c>
      <c r="E83" s="77" t="n">
        <v>117</v>
      </c>
      <c r="F83" s="78" t="n">
        <v>127</v>
      </c>
      <c r="G83" s="78" t="n">
        <v>142</v>
      </c>
      <c r="H83" s="77" t="n">
        <v>35</v>
      </c>
      <c r="I83" s="1" t="s">
        <v>392</v>
      </c>
    </row>
    <row r="84" customFormat="false" ht="15" hidden="false" customHeight="true" outlineLevel="0" collapsed="false">
      <c r="B84" s="76" t="s">
        <v>393</v>
      </c>
      <c r="C84" s="77" t="n">
        <v>325</v>
      </c>
      <c r="D84" s="77" t="n">
        <v>356</v>
      </c>
      <c r="E84" s="77" t="n">
        <v>385</v>
      </c>
      <c r="F84" s="78" t="n">
        <v>438</v>
      </c>
      <c r="G84" s="78" t="n">
        <v>505</v>
      </c>
      <c r="H84" s="77" t="n">
        <v>125</v>
      </c>
      <c r="I84" s="1" t="s">
        <v>394</v>
      </c>
    </row>
    <row r="85" customFormat="false" ht="15" hidden="false" customHeight="true" outlineLevel="0" collapsed="false">
      <c r="B85" s="1" t="s">
        <v>395</v>
      </c>
      <c r="C85" s="1" t="n">
        <v>49</v>
      </c>
      <c r="D85" s="1" t="n">
        <v>54</v>
      </c>
      <c r="E85" s="1" t="n">
        <v>59</v>
      </c>
      <c r="F85" s="1" t="n">
        <v>70</v>
      </c>
      <c r="G85" s="1" t="n">
        <v>81</v>
      </c>
      <c r="H85" s="1" t="n">
        <v>20</v>
      </c>
      <c r="I85" s="1" t="s">
        <v>396</v>
      </c>
    </row>
    <row r="86" customFormat="false" ht="15" hidden="false" customHeight="true" outlineLevel="0" collapsed="false">
      <c r="B86" s="20" t="s">
        <v>397</v>
      </c>
      <c r="C86" s="1" t="n">
        <f aca="false">C83+C85+C84/6</f>
        <v>209.166666666667</v>
      </c>
      <c r="D86" s="1" t="n">
        <f aca="false">D83+D85+D84/6</f>
        <v>222.333333333333</v>
      </c>
      <c r="E86" s="1" t="n">
        <f aca="false">E83+E85+E84/6</f>
        <v>240.166666666667</v>
      </c>
      <c r="F86" s="87" t="n">
        <f aca="false">F83+F85+F84/6</f>
        <v>270</v>
      </c>
      <c r="G86" s="87" t="n">
        <f aca="false">G83+G85+G84/6</f>
        <v>307.166666666667</v>
      </c>
      <c r="H86" s="1" t="n">
        <f aca="false">H83+H85+H84/6</f>
        <v>75.8333333333333</v>
      </c>
      <c r="I86" s="1" t="s">
        <v>398</v>
      </c>
    </row>
    <row r="87" customFormat="false" ht="15" hidden="false" customHeight="true" outlineLevel="0" collapsed="false">
      <c r="B87" s="76" t="s">
        <v>399</v>
      </c>
      <c r="C87" s="77" t="s">
        <v>365</v>
      </c>
      <c r="D87" s="77" t="s">
        <v>365</v>
      </c>
      <c r="E87" s="77" t="s">
        <v>365</v>
      </c>
      <c r="F87" s="77" t="s">
        <v>89</v>
      </c>
      <c r="G87" s="78" t="n">
        <f aca="false">IFERROR(G74/F74-1,"n/d")</f>
        <v>-0.0471809136621376</v>
      </c>
      <c r="H87" s="77" t="s">
        <v>269</v>
      </c>
    </row>
    <row r="88" customFormat="false" ht="15" hidden="false" customHeight="true" outlineLevel="0" collapsed="false">
      <c r="B88" s="76" t="s">
        <v>238</v>
      </c>
      <c r="C88" s="77" t="n">
        <v>57.59</v>
      </c>
      <c r="D88" s="77" t="n">
        <v>92.85</v>
      </c>
      <c r="E88" s="77" t="n">
        <v>75.98</v>
      </c>
      <c r="F88" s="77" t="n">
        <v>73.78</v>
      </c>
      <c r="G88" s="78" t="n">
        <v>62.77</v>
      </c>
      <c r="H88" s="77" t="n">
        <v>69.66</v>
      </c>
      <c r="I88" s="1" t="s">
        <v>400</v>
      </c>
    </row>
    <row r="89" customFormat="false" ht="15" hidden="false" customHeight="true" outlineLevel="0" collapsed="false">
      <c r="B89" s="76" t="s">
        <v>240</v>
      </c>
      <c r="C89" s="77" t="n">
        <v>3.5</v>
      </c>
      <c r="D89" s="77" t="n">
        <v>5.17</v>
      </c>
      <c r="E89" s="77" t="n">
        <v>1.83</v>
      </c>
      <c r="F89" s="77" t="n">
        <v>0.91</v>
      </c>
      <c r="G89" s="78" t="n">
        <v>1.67</v>
      </c>
      <c r="H89" s="77" t="n">
        <v>1.66</v>
      </c>
      <c r="I89" s="1" t="s">
        <v>401</v>
      </c>
    </row>
    <row r="90" customFormat="false" ht="15" hidden="false" customHeight="true" outlineLevel="0" collapsed="false">
      <c r="B90" s="1" t="s">
        <v>242</v>
      </c>
      <c r="C90" s="1" t="n">
        <v>30.8</v>
      </c>
      <c r="D90" s="1" t="n">
        <v>34.05</v>
      </c>
      <c r="E90" s="1" t="n">
        <v>20.48</v>
      </c>
      <c r="F90" s="1" t="n">
        <v>20.2</v>
      </c>
      <c r="G90" s="1" t="n">
        <v>18.28</v>
      </c>
      <c r="H90" s="1" t="n">
        <v>17.8</v>
      </c>
      <c r="I90" s="1" t="s">
        <v>402</v>
      </c>
    </row>
    <row r="92" customFormat="false" ht="18" hidden="false" customHeight="true" outlineLevel="0" collapsed="false">
      <c r="B92" s="88" t="s">
        <v>403</v>
      </c>
      <c r="C92" s="1" t="n">
        <v>67.91</v>
      </c>
      <c r="D92" s="1" t="n">
        <v>94.33</v>
      </c>
      <c r="E92" s="1" t="n">
        <v>77.62</v>
      </c>
      <c r="F92" s="1" t="n">
        <v>75.79</v>
      </c>
      <c r="G92" s="1" t="n">
        <v>64.87</v>
      </c>
      <c r="H92" s="1" t="n">
        <v>72.1</v>
      </c>
      <c r="I92" s="1" t="s">
        <v>404</v>
      </c>
    </row>
    <row r="93" customFormat="false" ht="15" hidden="false" customHeight="true" outlineLevel="0" collapsed="false">
      <c r="B93" s="89" t="s">
        <v>405</v>
      </c>
      <c r="C93" s="89" t="n">
        <v>3.89</v>
      </c>
      <c r="D93" s="1" t="n">
        <v>6.45</v>
      </c>
      <c r="E93" s="1" t="n">
        <v>2.54</v>
      </c>
      <c r="F93" s="1" t="n">
        <v>2.2</v>
      </c>
      <c r="G93" s="1" t="n">
        <v>3.43</v>
      </c>
      <c r="H93" s="1" t="n">
        <v>5.05</v>
      </c>
      <c r="I93" s="1" t="s">
        <v>406</v>
      </c>
    </row>
    <row r="94" customFormat="false" ht="15" hidden="false" customHeight="true" outlineLevel="0" collapsed="false">
      <c r="B94" s="6" t="s">
        <v>407</v>
      </c>
      <c r="C94" s="90"/>
    </row>
    <row r="95" customFormat="false" ht="15" hidden="false" customHeight="true" outlineLevel="0" collapsed="false">
      <c r="B95" s="6" t="s">
        <v>408</v>
      </c>
      <c r="C95" s="90" t="n">
        <f aca="false">C8/C86</f>
        <v>7.04223107569721</v>
      </c>
      <c r="D95" s="1" t="n">
        <f aca="false">D8/D86</f>
        <v>9.43628185907046</v>
      </c>
      <c r="E95" s="1" t="n">
        <f aca="false">E8/E86</f>
        <v>10.3095072866065</v>
      </c>
      <c r="F95" s="1" t="n">
        <f aca="false">F8/F86</f>
        <v>10.7074074074074</v>
      </c>
      <c r="G95" s="1" t="n">
        <f aca="false">G8/G86</f>
        <v>11.6125881714596</v>
      </c>
      <c r="H95" s="1" t="n">
        <f aca="false">H8/H86</f>
        <v>11.789010989011</v>
      </c>
      <c r="I95" s="1" t="s">
        <v>409</v>
      </c>
    </row>
    <row r="96" customFormat="false" ht="15" hidden="false" customHeight="true" outlineLevel="0" collapsed="false">
      <c r="B96" s="6" t="s">
        <v>410</v>
      </c>
      <c r="C96" s="90" t="n">
        <f aca="false">C36/C86</f>
        <v>9.42310756972112</v>
      </c>
      <c r="D96" s="1" t="n">
        <f aca="false">D36/D86</f>
        <v>11.3208395802099</v>
      </c>
      <c r="E96" s="1" t="n">
        <f aca="false">E36/E86</f>
        <v>15.6807772380291</v>
      </c>
      <c r="F96" s="1" t="n">
        <f aca="false">F36/F86</f>
        <v>13.7518518518519</v>
      </c>
      <c r="G96" s="1" t="n">
        <f aca="false">G36/G86</f>
        <v>12.0879001627781</v>
      </c>
      <c r="H96" s="1" t="n">
        <f aca="false">H36/H86</f>
        <v>11.1824175824176</v>
      </c>
      <c r="I96" s="1" t="s">
        <v>411</v>
      </c>
    </row>
    <row r="97" customFormat="false" ht="15" hidden="false" customHeight="true" outlineLevel="0" collapsed="false">
      <c r="B97" s="6" t="s">
        <v>412</v>
      </c>
      <c r="C97" s="90"/>
    </row>
    <row r="98" customFormat="false" ht="15" hidden="false" customHeight="true" outlineLevel="0" collapsed="false">
      <c r="B98" s="6" t="s">
        <v>413</v>
      </c>
      <c r="C98" s="90" t="s">
        <v>414</v>
      </c>
    </row>
    <row r="99" customFormat="false" ht="15" hidden="false" customHeight="true" outlineLevel="0" collapsed="false">
      <c r="B99" s="6" t="s">
        <v>415</v>
      </c>
      <c r="C99" s="90" t="s">
        <v>416</v>
      </c>
    </row>
    <row r="100" customFormat="false" ht="15" hidden="false" customHeight="true" outlineLevel="0" collapsed="false">
      <c r="B100" s="6" t="s">
        <v>417</v>
      </c>
      <c r="C100" s="90" t="s">
        <v>418</v>
      </c>
    </row>
    <row r="101" customFormat="false" ht="15" hidden="false" customHeight="true" outlineLevel="0" collapsed="false">
      <c r="B101" s="6" t="s">
        <v>419</v>
      </c>
      <c r="C101" s="90" t="s">
        <v>420</v>
      </c>
    </row>
    <row r="102" customFormat="false" ht="15" hidden="false" customHeight="true" outlineLevel="0" collapsed="false">
      <c r="B102" s="6" t="s">
        <v>421</v>
      </c>
      <c r="C102" s="90" t="s">
        <v>422</v>
      </c>
    </row>
    <row r="103" customFormat="false" ht="15" hidden="false" customHeight="true" outlineLevel="0" collapsed="false">
      <c r="B103" s="6" t="s">
        <v>423</v>
      </c>
      <c r="C103" s="90" t="s">
        <v>424</v>
      </c>
    </row>
    <row r="104" customFormat="false" ht="15" hidden="false" customHeight="true" outlineLevel="0" collapsed="false">
      <c r="B104" s="6" t="s">
        <v>425</v>
      </c>
      <c r="C104" s="90" t="s">
        <v>426</v>
      </c>
    </row>
    <row r="105" customFormat="false" ht="15" hidden="false" customHeight="true" outlineLevel="0" collapsed="false">
      <c r="B105" s="6" t="s">
        <v>427</v>
      </c>
      <c r="C105" s="90" t="s">
        <v>428</v>
      </c>
    </row>
    <row r="106" customFormat="false" ht="15" hidden="false" customHeight="true" outlineLevel="0" collapsed="false">
      <c r="B106" s="73"/>
      <c r="C106" s="91"/>
    </row>
    <row r="107" customFormat="false" ht="15" hidden="false" customHeight="true" outlineLevel="0" collapsed="false">
      <c r="B107" s="73"/>
      <c r="C107" s="91"/>
    </row>
    <row r="108" customFormat="false" ht="15" hidden="false" customHeight="true" outlineLevel="0" collapsed="false">
      <c r="B108" s="73"/>
      <c r="C108" s="91"/>
    </row>
  </sheetData>
  <mergeCells count="6">
    <mergeCell ref="B1:I1"/>
    <mergeCell ref="B5:I5"/>
    <mergeCell ref="B32:I32"/>
    <mergeCell ref="B52:I52"/>
    <mergeCell ref="B66:I66"/>
    <mergeCell ref="B72:I7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R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2"/>
    <col collapsed="false" customWidth="true" hidden="false" outlineLevel="0" max="8" min="3" style="1" width="13"/>
    <col collapsed="false" customWidth="true" hidden="false" outlineLevel="0" max="10" min="9" style="1" width="14"/>
    <col collapsed="false" customWidth="true" hidden="false" outlineLevel="0" max="11" min="11" style="1" width="2"/>
    <col collapsed="false" customWidth="true" hidden="false" outlineLevel="0" max="12" min="12" style="1" width="38"/>
    <col collapsed="false" customWidth="true" hidden="false" outlineLevel="0" max="18" min="13" style="1" width="12"/>
  </cols>
  <sheetData>
    <row r="1" customFormat="false" ht="21.75" hidden="false" customHeight="true" outlineLevel="0" collapsed="false">
      <c r="B1" s="66" t="s">
        <v>429</v>
      </c>
      <c r="C1" s="66"/>
      <c r="D1" s="66"/>
      <c r="E1" s="66"/>
      <c r="F1" s="66"/>
      <c r="G1" s="66"/>
      <c r="H1" s="66"/>
    </row>
    <row r="2" customFormat="false" ht="15" hidden="false" customHeight="true" outlineLevel="0" collapsed="false">
      <c r="B2" s="92" t="s">
        <v>135</v>
      </c>
      <c r="C2" s="68" t="s">
        <v>430</v>
      </c>
      <c r="D2" s="30" t="s">
        <v>431</v>
      </c>
      <c r="E2" s="69" t="s">
        <v>257</v>
      </c>
      <c r="F2" s="92" t="s">
        <v>432</v>
      </c>
      <c r="G2" s="92" t="s">
        <v>182</v>
      </c>
    </row>
    <row r="4" customFormat="false" ht="15" hidden="false" customHeight="true" outlineLevel="0" collapsed="false">
      <c r="B4" s="93" t="s">
        <v>258</v>
      </c>
      <c r="C4" s="71" t="s">
        <v>177</v>
      </c>
      <c r="D4" s="71" t="s">
        <v>178</v>
      </c>
      <c r="E4" s="71" t="s">
        <v>179</v>
      </c>
      <c r="F4" s="71" t="s">
        <v>180</v>
      </c>
      <c r="G4" s="71" t="s">
        <v>181</v>
      </c>
      <c r="H4" s="71" t="s">
        <v>182</v>
      </c>
    </row>
    <row r="5" customFormat="false" ht="15" hidden="false" customHeight="true" outlineLevel="0" collapsed="false">
      <c r="L5" s="83" t="s">
        <v>433</v>
      </c>
      <c r="M5" s="83"/>
      <c r="N5" s="83"/>
      <c r="O5" s="83"/>
      <c r="P5" s="83"/>
      <c r="Q5" s="83"/>
      <c r="R5" s="83"/>
    </row>
    <row r="6" customFormat="false" ht="15" hidden="false" customHeight="true" outlineLevel="0" collapsed="false">
      <c r="B6" s="72" t="s">
        <v>434</v>
      </c>
      <c r="C6" s="72"/>
      <c r="D6" s="72"/>
      <c r="E6" s="72"/>
      <c r="F6" s="72"/>
      <c r="G6" s="72"/>
      <c r="H6" s="72"/>
    </row>
    <row r="7" customFormat="false" ht="15" hidden="false" customHeight="true" outlineLevel="0" collapsed="false">
      <c r="B7" s="73" t="s">
        <v>435</v>
      </c>
      <c r="C7" s="81" t="n">
        <f aca="false">(Historico!G83*(1+Hipotesis!C30))*Hipotesis!C64</f>
        <v>13795.3</v>
      </c>
      <c r="D7" s="81" t="n">
        <f aca="false">(Historico!G83*(1+Hipotesis!C30)*(1+Hipotesis!D30))*Hipotesis!D64</f>
        <v>13572.928</v>
      </c>
      <c r="E7" s="81" t="n">
        <f aca="false">(Historico!G83*(1+Hipotesis!C30)*(1+Hipotesis!D30)*(1+Hipotesis!E30))*Hipotesis!E64</f>
        <v>13694.872275</v>
      </c>
      <c r="F7" s="81" t="n">
        <f aca="false">(Historico!G83*(1+Hipotesis!C30)*(1+Hipotesis!D30)*(1+Hipotesis!E30)*(1+Hipotesis!F30))*Hipotesis!F64</f>
        <v>13747.043217</v>
      </c>
      <c r="G7" s="81" t="n">
        <f aca="false">(Historico!G83*(1+Hipotesis!C30)*(1+Hipotesis!D30)*(1+Hipotesis!E30)*(1+Hipotesis!F30)*(1+Hipotesis!G30))*Hipotesis!G64</f>
        <v>13953.248865255</v>
      </c>
      <c r="H7" s="81" t="n">
        <f aca="false">(Historico!G83*(1+Hipotesis!C30)*(1+Hipotesis!D30)*(1+Hipotesis!E30)*(1+Hipotesis!F30)*(1+Hipotesis!G30)*(1+Hipotesis!H30))*Hipotesis!H64</f>
        <v>13953.248865255</v>
      </c>
      <c r="L7" s="71" t="s">
        <v>436</v>
      </c>
      <c r="M7" s="94" t="n">
        <v>0.02</v>
      </c>
      <c r="N7" s="94" t="n">
        <v>0.025</v>
      </c>
      <c r="O7" s="94" t="n">
        <v>0.03</v>
      </c>
      <c r="P7" s="94" t="n">
        <v>0.035</v>
      </c>
      <c r="Q7" s="94" t="n">
        <v>0.04</v>
      </c>
    </row>
    <row r="8" customFormat="false" ht="15" hidden="false" customHeight="true" outlineLevel="0" collapsed="false">
      <c r="B8" s="76" t="s">
        <v>437</v>
      </c>
      <c r="C8" s="95" t="n">
        <f aca="false">Historico!G83*(1+Hipotesis!C30)</f>
        <v>205.9</v>
      </c>
      <c r="D8" s="95" t="n">
        <f aca="false">C8*(1+Hipotesis!D30)</f>
        <v>212.077</v>
      </c>
      <c r="E8" s="95" t="n">
        <f aca="false">D8*(1+Hipotesis!E30)</f>
        <v>217.378925</v>
      </c>
      <c r="F8" s="95" t="n">
        <f aca="false">E8*(1+Hipotesis!F30)</f>
        <v>221.7265035</v>
      </c>
      <c r="G8" s="95" t="n">
        <f aca="false">F8*(1+Hipotesis!G30)</f>
        <v>225.0524010525</v>
      </c>
      <c r="H8" s="95" t="n">
        <f aca="false">G8*(1+Hipotesis!H30)</f>
        <v>225.0524010525</v>
      </c>
      <c r="L8" s="96" t="n">
        <v>0.075</v>
      </c>
      <c r="M8" s="97" t="n">
        <f aca="false">((C36/(1+$L$8)^0.5 + D36/(1+$L$8)^1.5 + E36/(1+$L$8)^2.5 + F36/(1+$L$8)^3.5 + G36/(1+$L$8)^4.5)+(G36*(1+M$7)/($L$8-M$7))/(1+$L$8)^5+Hipotesis!$C$15+Hipotesis!$C$16-Hipotesis!$C$14)/Hipotesis!$C$8</f>
        <v>70.8176528120036</v>
      </c>
      <c r="N8" s="97" t="n">
        <f aca="false">((C36/(1+$L$8)^0.5 + D36/(1+$L$8)^1.5 + E36/(1+$L$8)^2.5 + F36/(1+$L$8)^3.5 + G36/(1+$L$8)^4.5)+(G36*(1+N$7)/($L$8-N$7))/(1+$L$8)^5+Hipotesis!$C$15+Hipotesis!$C$16-Hipotesis!$C$14)/Hipotesis!$C$8</f>
        <v>77.288819361562</v>
      </c>
      <c r="O8" s="97" t="n">
        <f aca="false">((C36/(1+$L$8)^0.5 + D36/(1+$L$8)^1.5 + E36/(1+$L$8)^2.5 + F36/(1+$L$8)^3.5 + G36/(1+$L$8)^4.5)+(G36*(1+O$7)/($L$8-O$7))/(1+$L$8)^5+Hipotesis!$C$15+Hipotesis!$C$16-Hipotesis!$C$14)/Hipotesis!$C$8</f>
        <v>85.1980229221334</v>
      </c>
      <c r="P8" s="97" t="n">
        <f aca="false">((C36/(1+$L$8)^0.5 + D36/(1+$L$8)^1.5 + E36/(1+$L$8)^2.5 + F36/(1+$L$8)^3.5 + G36/(1+$L$8)^4.5)+(G36*(1+P$7)/($L$8-P$7))/(1+$L$8)^5+Hipotesis!$C$15+Hipotesis!$C$16-Hipotesis!$C$14)/Hipotesis!$C$8</f>
        <v>95.0845273728477</v>
      </c>
      <c r="Q8" s="97" t="n">
        <f aca="false">((C36/(1+$L$8)^0.5 + D36/(1+$L$8)^1.5 + E36/(1+$L$8)^2.5 + F36/(1+$L$8)^3.5 + G36/(1+$L$8)^4.5)+(G36*(1+Q$7)/($L$8-Q$7))/(1+$L$8)^5+Hipotesis!$C$15+Hipotesis!$C$16-Hipotesis!$C$14)/Hipotesis!$C$8</f>
        <v>107.795747380909</v>
      </c>
    </row>
    <row r="9" customFormat="false" ht="15" hidden="false" customHeight="true" outlineLevel="0" collapsed="false">
      <c r="B9" s="76" t="s">
        <v>438</v>
      </c>
      <c r="C9" s="98" t="n">
        <f aca="false">Hipotesis!C64</f>
        <v>67</v>
      </c>
      <c r="D9" s="98" t="n">
        <f aca="false">Hipotesis!D64</f>
        <v>64</v>
      </c>
      <c r="E9" s="98" t="n">
        <f aca="false">Hipotesis!E64</f>
        <v>63</v>
      </c>
      <c r="F9" s="98" t="n">
        <f aca="false">Hipotesis!F64</f>
        <v>62</v>
      </c>
      <c r="G9" s="98" t="n">
        <f aca="false">Hipotesis!G64</f>
        <v>62</v>
      </c>
      <c r="H9" s="98" t="n">
        <f aca="false">Hipotesis!H64</f>
        <v>62</v>
      </c>
      <c r="L9" s="96" t="n">
        <v>0.085</v>
      </c>
      <c r="M9" s="97" t="n">
        <f aca="false">((C36/(1+$L$9)^0.5 + D36/(1+$L$9)^1.5 + E36/(1+$L$9)^2.5 + F36/(1+$L$9)^3.5 + G36/(1+$L$9)^4.5)+(G36*(1+M$7)/($L$9-M$7))/(1+$L$9)^5+Hipotesis!$C$15+Hipotesis!$C$16-Hipotesis!$C$14)/Hipotesis!$C$8</f>
        <v>58.6131565883098</v>
      </c>
      <c r="N9" s="97" t="n">
        <f aca="false">((C36/(1+$L$9)^0.5 + D36/(1+$L$9)^1.5 + E36/(1+$L$9)^2.5 + F36/(1+$L$9)^3.5 + G36/(1+$L$9)^4.5)+(G36*(1+N$7)/($L$9-N$7))/(1+$L$9)^5+Hipotesis!$C$15+Hipotesis!$C$16-Hipotesis!$C$14)/Hipotesis!$C$8</f>
        <v>63.0102487516105</v>
      </c>
      <c r="O9" s="97" t="n">
        <f aca="false">((C36/(1+$L$9)^0.5 + D36/(1+$L$9)^1.5 + E36/(1+$L$9)^2.5 + F36/(1+$L$9)^3.5 + G36/(1+$L$9)^4.5)+(G36*(1+O$7)/($L$9-O$7))/(1+$L$9)^5+Hipotesis!$C$15+Hipotesis!$C$16-Hipotesis!$C$14)/Hipotesis!$C$8</f>
        <v>68.2068122173295</v>
      </c>
      <c r="P9" s="97" t="n">
        <f aca="false">((C36/(1+$L$9)^0.5 + D36/(1+$L$9)^1.5 + E36/(1+$L$9)^2.5 + F36/(1+$L$9)^3.5 + G36/(1+$L$9)^4.5)+(G36*(1+P$7)/($L$9-P$7))/(1+$L$9)^5+Hipotesis!$C$15+Hipotesis!$C$16-Hipotesis!$C$14)/Hipotesis!$C$8</f>
        <v>74.4426883761923</v>
      </c>
      <c r="Q9" s="97" t="n">
        <f aca="false">((C36/(1+$L$9)^0.5 + D36/(1+$L$9)^1.5 + E36/(1+$L$9)^2.5 + F36/(1+$L$9)^3.5 + G36/(1+$L$9)^4.5)+(G36*(1+Q$7)/($L$9-Q$7))/(1+$L$9)^5+Hipotesis!$C$15+Hipotesis!$C$16-Hipotesis!$C$14)/Hipotesis!$C$8</f>
        <v>82.0643147925802</v>
      </c>
    </row>
    <row r="10" customFormat="false" ht="15" hidden="false" customHeight="true" outlineLevel="0" collapsed="false">
      <c r="B10" s="73" t="s">
        <v>439</v>
      </c>
      <c r="C10" s="81" t="n">
        <f aca="false">(Historico!G85*(1+Hipotesis!C31))*Hipotesis!C66</f>
        <v>2231.55</v>
      </c>
      <c r="D10" s="81" t="n">
        <f aca="false">(Historico!G85*(1+Hipotesis!C31)*(1+Hipotesis!D31))*Hipotesis!D66</f>
        <v>2381.886</v>
      </c>
      <c r="E10" s="81" t="n">
        <f aca="false">(Historico!G85*(1+Hipotesis!C31)*(1+Hipotesis!D31)*(1+Hipotesis!E31))*Hipotesis!E66</f>
        <v>2516.2488</v>
      </c>
      <c r="F10" s="81" t="n">
        <f aca="false">(Historico!G85*(1+Hipotesis!C31)*(1+Hipotesis!D31)*(1+Hipotesis!E31)*(1+Hipotesis!F31))*Hipotesis!F66</f>
        <v>2579.15502</v>
      </c>
      <c r="G10" s="81" t="n">
        <f aca="false">(Historico!G85*(1+Hipotesis!C31)*(1+Hipotesis!D31)*(1+Hipotesis!E31)*(1+Hipotesis!F31)*(1+Hipotesis!G31))*Hipotesis!G66</f>
        <v>2696.50657341</v>
      </c>
      <c r="H10" s="81" t="n">
        <f aca="false">(Historico!G85*(1+Hipotesis!C31)*(1+Hipotesis!D31)*(1+Hipotesis!E31)*(1+Hipotesis!F31)*(1+Hipotesis!G31)*(1+Hipotesis!H31))*Hipotesis!H66</f>
        <v>2696.50657341</v>
      </c>
      <c r="L10" s="96" t="n">
        <v>0.089</v>
      </c>
      <c r="M10" s="97" t="n">
        <f aca="false">((C36/(1+$L$10)^0.5 + D36/(1+$L$10)^1.5 + E36/(1+$L$10)^2.5 + F36/(1+$L$10)^3.5 + G36/(1+$L$10)^4.5)+(G36*(1+M$7)/($L$10-M$7))/(1+$L$10)^5+Hipotesis!$C$15+Hipotesis!$C$16-Hipotesis!$C$14)/Hipotesis!$C$8</f>
        <v>54.7270043105329</v>
      </c>
      <c r="N10" s="97" t="n">
        <f aca="false">((C36/(1+$L$10)^0.5 + D36/(1+$L$10)^1.5 + E36/(1+$L$10)^2.5 + F36/(1+$L$10)^3.5 + G36/(1+$L$10)^4.5)+(G36*(1+N$7)/($L$10-N$7))/(1+$L$10)^5+Hipotesis!$C$15+Hipotesis!$C$16-Hipotesis!$C$14)/Hipotesis!$C$8</f>
        <v>58.5535644618038</v>
      </c>
      <c r="O10" s="99" t="n">
        <f aca="false">((C36/(1+$L$10)^0.5 + D36/(1+$L$10)^1.5 + E36/(1+$L$10)^2.5 + F36/(1+$L$10)^3.5 + G36/(1+$L$10)^4.5)+(G36*(1+O$7)/($L$10-O$7))/(1+$L$10)^5+Hipotesis!$C$15+Hipotesis!$C$16-Hipotesis!$C$14)/Hipotesis!$C$8</f>
        <v>63.0286941302392</v>
      </c>
      <c r="P10" s="97" t="n">
        <f aca="false">((C36/(1+$L$10)^0.5 + D36/(1+$L$10)^1.5 + E36/(1+$L$10)^2.5 + F36/(1+$L$10)^3.5 + G36/(1+$L$10)^4.5)+(G36*(1+P$7)/($L$10-P$7))/(1+$L$10)^5+Hipotesis!$C$15+Hipotesis!$C$16-Hipotesis!$C$14)/Hipotesis!$C$8</f>
        <v>68.3325515150516</v>
      </c>
      <c r="Q10" s="97" t="n">
        <f aca="false">((C36/(1+$L$10)^0.5 + D36/(1+$L$10)^1.5 + E36/(1+$L$10)^2.5 + F36/(1+$L$10)^3.5 + G36/(1+$L$10)^4.5)+(G36*(1+Q$7)/($L$10-Q$7))/(1+$L$10)^5+Hipotesis!$C$15+Hipotesis!$C$16-Hipotesis!$C$14)/Hipotesis!$C$8</f>
        <v>74.7188287743154</v>
      </c>
    </row>
    <row r="11" customFormat="false" ht="15" hidden="false" customHeight="true" outlineLevel="0" collapsed="false">
      <c r="B11" s="76" t="s">
        <v>440</v>
      </c>
      <c r="C11" s="95" t="n">
        <f aca="false">Historico!G85*(1+Hipotesis!C31)</f>
        <v>117.45</v>
      </c>
      <c r="D11" s="95" t="n">
        <f aca="false">C11*(1+Hipotesis!D31)</f>
        <v>122.148</v>
      </c>
      <c r="E11" s="95" t="n">
        <f aca="false">D11*(1+Hipotesis!E31)</f>
        <v>125.81244</v>
      </c>
      <c r="F11" s="95" t="n">
        <f aca="false">E11*(1+Hipotesis!F31)</f>
        <v>128.957751</v>
      </c>
      <c r="G11" s="95" t="n">
        <f aca="false">F11*(1+Hipotesis!G31)</f>
        <v>131.53690602</v>
      </c>
      <c r="H11" s="95" t="n">
        <f aca="false">G11*(1+Hipotesis!H31)</f>
        <v>131.53690602</v>
      </c>
      <c r="L11" s="96" t="n">
        <v>0.1</v>
      </c>
      <c r="M11" s="97" t="n">
        <f aca="false">((C36/(1+$L$11)^0.5 + D36/(1+$L$11)^1.5 + E36/(1+$L$11)^2.5 + F36/(1+$L$11)^3.5 + G36/(1+$L$11)^4.5)+(G36*(1+M$7)/($L$11-M$7))/(1+$L$11)^5+Hipotesis!$C$15+Hipotesis!$C$16-Hipotesis!$C$14)/Hipotesis!$C$8</f>
        <v>46.055997179693</v>
      </c>
      <c r="N11" s="97" t="n">
        <f aca="false">((C36/(1+$L$11)^0.5 + D36/(1+$L$11)^1.5 + E36/(1+$L$11)^2.5 + F36/(1+$L$11)^3.5 + G36/(1+$L$11)^4.5)+(G36*(1+N$7)/($L$11-N$7))/(1+$L$11)^5+Hipotesis!$C$15+Hipotesis!$C$16-Hipotesis!$C$14)/Hipotesis!$C$8</f>
        <v>48.7613700919081</v>
      </c>
      <c r="O11" s="97" t="n">
        <f aca="false">((C36/(1+$L$11)^0.5 + D36/(1+$L$11)^1.5 + E36/(1+$L$11)^2.5 + F36/(1+$L$11)^3.5 + G36/(1+$L$11)^4.5)+(G36*(1+O$7)/($L$11-O$7))/(1+$L$11)^5+Hipotesis!$C$15+Hipotesis!$C$16-Hipotesis!$C$14)/Hipotesis!$C$8</f>
        <v>51.8532248487254</v>
      </c>
      <c r="P11" s="97" t="n">
        <f aca="false">((C36/(1+$L$11)^0.5 + D36/(1+$L$11)^1.5 + E36/(1+$L$11)^2.5 + F36/(1+$L$11)^3.5 + G36/(1+$L$11)^4.5)+(G36*(1+P$7)/($L$11-P$7))/(1+$L$11)^5+Hipotesis!$C$15+Hipotesis!$C$16-Hipotesis!$C$14)/Hipotesis!$C$8</f>
        <v>55.42074956813</v>
      </c>
      <c r="Q11" s="97" t="n">
        <f aca="false">((C36/(1+$L$11)^0.5 + D36/(1+$L$11)^1.5 + E36/(1+$L$11)^2.5 + F36/(1+$L$11)^3.5 + G36/(1+$L$11)^4.5)+(G36*(1+Q$7)/($L$11-Q$7))/(1+$L$11)^5+Hipotesis!$C$15+Hipotesis!$C$16-Hipotesis!$C$14)/Hipotesis!$C$8</f>
        <v>59.5828617407687</v>
      </c>
    </row>
    <row r="12" customFormat="false" ht="15" hidden="false" customHeight="true" outlineLevel="0" collapsed="false">
      <c r="B12" s="76" t="s">
        <v>441</v>
      </c>
      <c r="C12" s="98" t="n">
        <f aca="false">Hipotesis!C66</f>
        <v>19</v>
      </c>
      <c r="D12" s="98" t="n">
        <f aca="false">Hipotesis!D66</f>
        <v>19.5</v>
      </c>
      <c r="E12" s="98" t="n">
        <f aca="false">Hipotesis!E66</f>
        <v>20</v>
      </c>
      <c r="F12" s="98" t="n">
        <f aca="false">Hipotesis!F66</f>
        <v>20</v>
      </c>
      <c r="G12" s="98" t="n">
        <f aca="false">Hipotesis!G66</f>
        <v>20.5</v>
      </c>
      <c r="H12" s="98" t="n">
        <f aca="false">Hipotesis!H66</f>
        <v>20.5</v>
      </c>
      <c r="L12" s="96" t="n">
        <v>0.11</v>
      </c>
      <c r="M12" s="97" t="n">
        <f aca="false">((C36/(1+$L$12)^0.5 + D36/(1+$L$12)^1.5 + E36/(1+$L$12)^2.5 + F36/(1+$L$12)^3.5 + G36/(1+$L$12)^4.5)+(G36*(1+M$7)/($L$12-M$7))/(1+$L$12)^5+Hipotesis!$C$15+Hipotesis!$C$16-Hipotesis!$C$14)/Hipotesis!$C$8</f>
        <v>40.0252915257064</v>
      </c>
      <c r="N12" s="97" t="n">
        <f aca="false">((C36/(1+$L$12)^0.5 + D36/(1+$L$12)^1.5 + E36/(1+$L$12)^2.5 + F36/(1+$L$12)^3.5 + G36/(1+$L$12)^4.5)+(G36*(1+N$7)/($L$12-N$7))/(1+$L$12)^5+Hipotesis!$C$15+Hipotesis!$C$16-Hipotesis!$C$14)/Hipotesis!$C$8</f>
        <v>42.0717162680648</v>
      </c>
      <c r="O12" s="97" t="n">
        <f aca="false">((C36/(1+$L$12)^0.5 + D36/(1+$L$12)^1.5 + E36/(1+$L$12)^2.5 + F36/(1+$L$12)^3.5 + G36/(1+$L$12)^4.5)+(G36*(1+O$7)/($L$12-O$7))/(1+$L$12)^5+Hipotesis!$C$15+Hipotesis!$C$16-Hipotesis!$C$14)/Hipotesis!$C$8</f>
        <v>44.3739441032179</v>
      </c>
      <c r="P12" s="97" t="n">
        <f aca="false">((C36/(1+$L$12)^0.5 + D36/(1+$L$12)^1.5 + E36/(1+$L$12)^2.5 + F36/(1+$L$12)^3.5 + G36/(1+$L$12)^4.5)+(G36*(1+P$7)/($L$12-P$7))/(1+$L$12)^5+Hipotesis!$C$15+Hipotesis!$C$16-Hipotesis!$C$14)/Hipotesis!$C$8</f>
        <v>46.9831356497247</v>
      </c>
      <c r="Q12" s="97" t="n">
        <f aca="false">((C36/(1+$L$12)^0.5 + D36/(1+$L$12)^1.5 + E36/(1+$L$12)^2.5 + F36/(1+$L$12)^3.5 + G36/(1+$L$12)^4.5)+(G36*(1+Q$7)/($L$12-Q$7))/(1+$L$12)^5+Hipotesis!$C$15+Hipotesis!$C$16-Hipotesis!$C$14)/Hipotesis!$C$8</f>
        <v>49.9650688457325</v>
      </c>
    </row>
    <row r="13" customFormat="false" ht="15" hidden="false" customHeight="true" outlineLevel="0" collapsed="false">
      <c r="B13" s="73" t="s">
        <v>442</v>
      </c>
      <c r="C13" s="81" t="n">
        <f aca="false">(Historico!G84*(1+Hipotesis!C32))*Hipotesis!C65</f>
        <v>3499.65</v>
      </c>
      <c r="D13" s="81" t="n">
        <f aca="false">(Historico!G84*(1+Hipotesis!C32)*(1+Hipotesis!D32))*Hipotesis!D65</f>
        <v>3970.512</v>
      </c>
      <c r="E13" s="81" t="n">
        <f aca="false">(Historico!G84*(1+Hipotesis!C32)*(1+Hipotesis!D32)*(1+Hipotesis!E32))*Hipotesis!E65</f>
        <v>4430.42964</v>
      </c>
      <c r="F13" s="81" t="n">
        <f aca="false">(Historico!G84*(1+Hipotesis!C32)*(1+Hipotesis!D32)*(1+Hipotesis!E32)*(1+Hipotesis!F32))*Hipotesis!F65</f>
        <v>4715.8515495</v>
      </c>
      <c r="G13" s="81" t="n">
        <f aca="false">(Historico!G84*(1+Hipotesis!C32)*(1+Hipotesis!D32)*(1+Hipotesis!E32)*(1+Hipotesis!F32)*(1+Hipotesis!G32))*Hipotesis!G65</f>
        <v>4988.32297236</v>
      </c>
      <c r="H13" s="81" t="n">
        <f aca="false">(Historico!G84*(1+Hipotesis!C32)*(1+Hipotesis!D32)*(1+Hipotesis!E32)*(1+Hipotesis!F32)*(1+Hipotesis!G32)*(1+Hipotesis!H32))*Hipotesis!H65</f>
        <v>4988.32297236</v>
      </c>
    </row>
    <row r="14" customFormat="false" ht="15" hidden="false" customHeight="true" outlineLevel="0" collapsed="false">
      <c r="B14" s="76" t="s">
        <v>443</v>
      </c>
      <c r="C14" s="95" t="n">
        <f aca="false">Historico!G84*(1+Hipotesis!C32)</f>
        <v>1590.75</v>
      </c>
      <c r="D14" s="95" t="n">
        <f aca="false">C14*(1+Hipotesis!D32)</f>
        <v>1654.38</v>
      </c>
      <c r="E14" s="95" t="n">
        <f aca="false">D14*(1+Hipotesis!E32)</f>
        <v>1704.0114</v>
      </c>
      <c r="F14" s="95" t="n">
        <f aca="false">E14*(1+Hipotesis!F32)</f>
        <v>1746.611685</v>
      </c>
      <c r="G14" s="95" t="n">
        <f aca="false">F14*(1+Hipotesis!G32)</f>
        <v>1781.5439187</v>
      </c>
      <c r="H14" s="95" t="n">
        <f aca="false">G14*(1+Hipotesis!H32)</f>
        <v>1781.5439187</v>
      </c>
    </row>
    <row r="15" customFormat="false" ht="15" hidden="false" customHeight="true" outlineLevel="0" collapsed="false">
      <c r="B15" s="76" t="s">
        <v>444</v>
      </c>
      <c r="C15" s="98" t="n">
        <f aca="false">Hipotesis!C65</f>
        <v>2.2</v>
      </c>
      <c r="D15" s="98" t="n">
        <f aca="false">Hipotesis!D65</f>
        <v>2.4</v>
      </c>
      <c r="E15" s="98" t="n">
        <f aca="false">Hipotesis!E65</f>
        <v>2.6</v>
      </c>
      <c r="F15" s="98" t="n">
        <f aca="false">Hipotesis!F65</f>
        <v>2.7</v>
      </c>
      <c r="G15" s="98" t="n">
        <f aca="false">Hipotesis!G65</f>
        <v>2.8</v>
      </c>
      <c r="H15" s="98" t="n">
        <f aca="false">Hipotesis!H65</f>
        <v>2.8</v>
      </c>
      <c r="L15" s="83" t="s">
        <v>445</v>
      </c>
      <c r="M15" s="83"/>
      <c r="N15" s="83"/>
      <c r="O15" s="83"/>
      <c r="P15" s="83"/>
      <c r="Q15" s="83"/>
      <c r="R15" s="83"/>
    </row>
    <row r="16" customFormat="false" ht="15" hidden="false" customHeight="true" outlineLevel="0" collapsed="false">
      <c r="B16" s="67" t="s">
        <v>446</v>
      </c>
      <c r="C16" s="100" t="n">
        <f aca="false">C7+C10+C13</f>
        <v>19526.5</v>
      </c>
      <c r="D16" s="100" t="n">
        <f aca="false">D7+D10+D13</f>
        <v>19925.326</v>
      </c>
      <c r="E16" s="100" t="n">
        <f aca="false">E7+E10+E13</f>
        <v>20641.550715</v>
      </c>
      <c r="F16" s="100" t="n">
        <f aca="false">F7+F10+F13</f>
        <v>21042.0497865</v>
      </c>
      <c r="G16" s="100" t="n">
        <f aca="false">G7+G10+G13</f>
        <v>21638.078411025</v>
      </c>
      <c r="H16" s="100" t="n">
        <f aca="false">H7+H10+H13</f>
        <v>21638.078411025</v>
      </c>
    </row>
    <row r="17" customFormat="false" ht="15" hidden="false" customHeight="true" outlineLevel="0" collapsed="false">
      <c r="B17" s="76" t="s">
        <v>447</v>
      </c>
      <c r="C17" s="78" t="n">
        <f aca="false">C16/Historico!G6-1</f>
        <v>0.136054223877124</v>
      </c>
      <c r="D17" s="78" t="n">
        <f aca="false">D16/C16-1</f>
        <v>0.0204248585255933</v>
      </c>
      <c r="E17" s="78" t="n">
        <f aca="false">E16/D16-1</f>
        <v>0.0359454452589632</v>
      </c>
      <c r="F17" s="78" t="n">
        <f aca="false">F16/E16-1</f>
        <v>0.0194025670372218</v>
      </c>
      <c r="G17" s="78" t="n">
        <f aca="false">G16/F16-1</f>
        <v>0.0283255971054395</v>
      </c>
      <c r="H17" s="78" t="n">
        <f aca="false">H16/G16-1</f>
        <v>0</v>
      </c>
      <c r="L17" s="71" t="s">
        <v>448</v>
      </c>
      <c r="M17" s="94" t="n">
        <v>0.2</v>
      </c>
      <c r="N17" s="94" t="n">
        <v>0.25</v>
      </c>
      <c r="O17" s="94" t="n">
        <v>0.3</v>
      </c>
      <c r="P17" s="94" t="n">
        <v>0.35</v>
      </c>
      <c r="Q17" s="94" t="n">
        <v>0.4</v>
      </c>
    </row>
    <row r="18" customFormat="false" ht="15" hidden="false" customHeight="true" outlineLevel="0" collapsed="false">
      <c r="B18" s="1" t="s">
        <v>449</v>
      </c>
      <c r="C18" s="101" t="n">
        <f aca="false">C8+C11+C14/6</f>
        <v>588.475</v>
      </c>
      <c r="D18" s="101" t="n">
        <f aca="false">D8+D11+D14/6</f>
        <v>609.955</v>
      </c>
      <c r="E18" s="101" t="n">
        <f aca="false">E8+E11+E14/6</f>
        <v>627.193265</v>
      </c>
      <c r="F18" s="101" t="n">
        <f aca="false">F8+F11+F14/6</f>
        <v>641.786202</v>
      </c>
      <c r="G18" s="101" t="n">
        <f aca="false">G8+G11+G14/6</f>
        <v>653.5132935225</v>
      </c>
      <c r="H18" s="101" t="n">
        <f aca="false">H8+H11+H14/6</f>
        <v>653.5132935225</v>
      </c>
      <c r="L18" s="96" t="n">
        <v>0.075</v>
      </c>
      <c r="M18" s="97" t="n">
        <f aca="false">(C44+((G16*M$17*(1-Hipotesis!$C$13)+G31+G33+G35)*(1+Hipotesis!$C$47)/($L$18-Hipotesis!$C$47))/(1+$L$18)^5+Hipotesis!$C$15+Hipotesis!$C$16-Hipotesis!$C$14)/Hipotesis!$C$8</f>
        <v>32.1189734302682</v>
      </c>
      <c r="N18" s="97" t="n">
        <f aca="false">(C44+((G16*N$17*(1-Hipotesis!$C$13)+G31+G33+G35)*(1+Hipotesis!$C$47)/($L$18-Hipotesis!$C$47))/(1+$L$18)^5+Hipotesis!$C$15+Hipotesis!$C$16-Hipotesis!$C$14)/Hipotesis!$C$8</f>
        <v>41.5737038618649</v>
      </c>
      <c r="O18" s="97" t="n">
        <f aca="false">(C44+((G16*O$17*(1-Hipotesis!$C$13)+G31+G33+G35)*(1+Hipotesis!$C$47)/($L$18-Hipotesis!$C$47))/(1+$L$18)^5+Hipotesis!$C$15+Hipotesis!$C$16-Hipotesis!$C$14)/Hipotesis!$C$8</f>
        <v>51.0284342934615</v>
      </c>
      <c r="P18" s="97" t="n">
        <f aca="false">(C44+((G16*P$17*(1-Hipotesis!$C$13)+G31+G33+G35)*(1+Hipotesis!$C$47)/($L$18-Hipotesis!$C$47))/(1+$L$18)^5+Hipotesis!$C$15+Hipotesis!$C$16-Hipotesis!$C$14)/Hipotesis!$C$8</f>
        <v>60.4831647250581</v>
      </c>
      <c r="Q18" s="97" t="n">
        <f aca="false">(C44+((G16*Q$17*(1-Hipotesis!$C$13)+G31+G33+G35)*(1+Hipotesis!$C$47)/($L$18-Hipotesis!$C$47))/(1+$L$18)^5+Hipotesis!$C$15+Hipotesis!$C$16-Hipotesis!$C$14)/Hipotesis!$C$8</f>
        <v>69.9378951566547</v>
      </c>
    </row>
    <row r="19" customFormat="false" ht="15" hidden="false" customHeight="true" outlineLevel="0" collapsed="false">
      <c r="B19" s="72" t="s">
        <v>450</v>
      </c>
      <c r="C19" s="72"/>
      <c r="D19" s="72"/>
      <c r="E19" s="72"/>
      <c r="F19" s="72"/>
      <c r="G19" s="72"/>
      <c r="H19" s="72"/>
      <c r="L19" s="96" t="n">
        <v>0.085</v>
      </c>
      <c r="M19" s="97" t="n">
        <f aca="false">(C44+((G16*M$17*(1-Hipotesis!$C$13)+G31+G33+G35)*(1+Hipotesis!$C$47)/($L$19-Hipotesis!$C$47))/(1+$L$19)^5+Hipotesis!$C$15+Hipotesis!$C$16-Hipotesis!$C$14)/Hipotesis!$C$8</f>
        <v>27.6475610231245</v>
      </c>
      <c r="N19" s="97" t="n">
        <f aca="false">(C44+((G16*N$17*(1-Hipotesis!$C$13)+G31+G33+G35)*(1+Hipotesis!$C$47)/($L$19-Hipotesis!$C$47))/(1+$L$19)^5+Hipotesis!$C$15+Hipotesis!$C$16-Hipotesis!$C$14)/Hipotesis!$C$8</f>
        <v>35.2857801643189</v>
      </c>
      <c r="O19" s="97" t="n">
        <f aca="false">(C44+((G16*O$17*(1-Hipotesis!$C$13)+G31+G33+G35)*(1+Hipotesis!$C$47)/($L$19-Hipotesis!$C$47))/(1+$L$19)^5+Hipotesis!$C$15+Hipotesis!$C$16-Hipotesis!$C$14)/Hipotesis!$C$8</f>
        <v>42.9239993055133</v>
      </c>
      <c r="P19" s="97" t="n">
        <f aca="false">(C44+((G16*P$17*(1-Hipotesis!$C$13)+G31+G33+G35)*(1+Hipotesis!$C$47)/($L$19-Hipotesis!$C$47))/(1+$L$19)^5+Hipotesis!$C$15+Hipotesis!$C$16-Hipotesis!$C$14)/Hipotesis!$C$8</f>
        <v>50.5622184467078</v>
      </c>
      <c r="Q19" s="97" t="n">
        <f aca="false">(C44+((G16*Q$17*(1-Hipotesis!$C$13)+G31+G33+G35)*(1+Hipotesis!$C$47)/($L$19-Hipotesis!$C$47))/(1+$L$19)^5+Hipotesis!$C$15+Hipotesis!$C$16-Hipotesis!$C$14)/Hipotesis!$C$8</f>
        <v>58.2004375879022</v>
      </c>
    </row>
    <row r="20" customFormat="false" ht="15" hidden="false" customHeight="true" outlineLevel="0" collapsed="false">
      <c r="B20" s="73" t="s">
        <v>451</v>
      </c>
      <c r="C20" s="81" t="n">
        <f aca="false">C7*Hipotesis!C33</f>
        <v>5518.12</v>
      </c>
      <c r="D20" s="81" t="n">
        <f aca="false">D7*Hipotesis!D33</f>
        <v>5700.62976</v>
      </c>
      <c r="E20" s="81" t="n">
        <f aca="false">E7*Hipotesis!E33</f>
        <v>5888.79507825</v>
      </c>
      <c r="F20" s="81" t="n">
        <f aca="false">F7*Hipotesis!F33</f>
        <v>5911.22858331</v>
      </c>
      <c r="G20" s="81" t="n">
        <f aca="false">G7*Hipotesis!G33</f>
        <v>5999.89701205965</v>
      </c>
      <c r="H20" s="81" t="n">
        <f aca="false">H7*Hipotesis!H33</f>
        <v>5860.3645234071</v>
      </c>
      <c r="L20" s="96" t="n">
        <v>0.089</v>
      </c>
      <c r="M20" s="97" t="n">
        <f aca="false">(C44+((G16*M$17*(1-Hipotesis!$C$13)+G31+G33+G35)*(1+Hipotesis!$C$47)/($L$20-Hipotesis!$C$47))/(1+$L$20)^5+Hipotesis!$C$15+Hipotesis!$C$16-Hipotesis!$C$14)/Hipotesis!$C$8</f>
        <v>26.234698367992</v>
      </c>
      <c r="N20" s="97" t="n">
        <f aca="false">(C44+((G16*N$17*(1-Hipotesis!$C$13)+G31+G33+G35)*(1+Hipotesis!$C$47)/($L$20-Hipotesis!$C$47))/(1+$L$20)^5+Hipotesis!$C$15+Hipotesis!$C$16-Hipotesis!$C$14)/Hipotesis!$C$8</f>
        <v>33.2989420555389</v>
      </c>
      <c r="O20" s="99" t="n">
        <f aca="false">(C44+((G16*O$17*(1-Hipotesis!$C$13)+G31+G33+G35)*(1+Hipotesis!$C$47)/($L$20-Hipotesis!$C$47))/(1+$L$20)^5+Hipotesis!$C$15+Hipotesis!$C$16-Hipotesis!$C$14)/Hipotesis!$C$8</f>
        <v>40.3631857430858</v>
      </c>
      <c r="P20" s="97" t="n">
        <f aca="false">(C44+((G16*P$17*(1-Hipotesis!$C$13)+G31+G33+G35)*(1+Hipotesis!$C$47)/($L$20-Hipotesis!$C$47))/(1+$L$20)^5+Hipotesis!$C$15+Hipotesis!$C$16-Hipotesis!$C$14)/Hipotesis!$C$8</f>
        <v>47.4274294306327</v>
      </c>
      <c r="Q20" s="97" t="n">
        <f aca="false">(C44+((G16*Q$17*(1-Hipotesis!$C$13)+G31+G33+G35)*(1+Hipotesis!$C$47)/($L$20-Hipotesis!$C$47))/(1+$L$20)^5+Hipotesis!$C$15+Hipotesis!$C$16-Hipotesis!$C$14)/Hipotesis!$C$8</f>
        <v>54.4916731181796</v>
      </c>
    </row>
    <row r="21" customFormat="false" ht="15" hidden="false" customHeight="true" outlineLevel="0" collapsed="false">
      <c r="B21" s="76" t="s">
        <v>452</v>
      </c>
      <c r="C21" s="78" t="n">
        <f aca="false">C20/C7</f>
        <v>0.4</v>
      </c>
      <c r="D21" s="78" t="n">
        <f aca="false">D20/D7</f>
        <v>0.42</v>
      </c>
      <c r="E21" s="78" t="n">
        <f aca="false">E20/E7</f>
        <v>0.43</v>
      </c>
      <c r="F21" s="78" t="n">
        <f aca="false">F20/F7</f>
        <v>0.43</v>
      </c>
      <c r="G21" s="78" t="n">
        <f aca="false">G20/G7</f>
        <v>0.43</v>
      </c>
      <c r="H21" s="78" t="n">
        <f aca="false">H20/H7</f>
        <v>0.42</v>
      </c>
      <c r="L21" s="96" t="n">
        <v>0.1</v>
      </c>
      <c r="M21" s="97" t="n">
        <f aca="false">(C44+((G16*M$17*(1-Hipotesis!$C$13)+G31+G33+G35)*(1+Hipotesis!$C$47)/($L$21-Hipotesis!$C$47))/(1+$L$21)^5+Hipotesis!$C$15+Hipotesis!$C$16-Hipotesis!$C$14)/Hipotesis!$C$8</f>
        <v>23.1086756456579</v>
      </c>
      <c r="N21" s="97" t="n">
        <f aca="false">(C44+((G16*N$17*(1-Hipotesis!$C$13)+G31+G33+G35)*(1+Hipotesis!$C$47)/($L$21-Hipotesis!$C$47))/(1+$L$21)^5+Hipotesis!$C$15+Hipotesis!$C$16-Hipotesis!$C$14)/Hipotesis!$C$8</f>
        <v>28.9029726022566</v>
      </c>
      <c r="O21" s="97" t="n">
        <f aca="false">(C44+((G16*O$17*(1-Hipotesis!$C$13)+G31+G33+G35)*(1+Hipotesis!$C$47)/($L$21-Hipotesis!$C$47))/(1+$L$21)^5+Hipotesis!$C$15+Hipotesis!$C$16-Hipotesis!$C$14)/Hipotesis!$C$8</f>
        <v>34.6972695588552</v>
      </c>
      <c r="P21" s="97" t="n">
        <f aca="false">(C44+((G16*P$17*(1-Hipotesis!$C$13)+G31+G33+G35)*(1+Hipotesis!$C$47)/($L$21-Hipotesis!$C$47))/(1+$L$21)^5+Hipotesis!$C$15+Hipotesis!$C$16-Hipotesis!$C$14)/Hipotesis!$C$8</f>
        <v>40.4915665154539</v>
      </c>
      <c r="Q21" s="97" t="n">
        <f aca="false">(C44+((G16*Q$17*(1-Hipotesis!$C$13)+G31+G33+G35)*(1+Hipotesis!$C$47)/($L$21-Hipotesis!$C$47))/(1+$L$21)^5+Hipotesis!$C$15+Hipotesis!$C$16-Hipotesis!$C$14)/Hipotesis!$C$8</f>
        <v>46.2858634720525</v>
      </c>
    </row>
    <row r="22" customFormat="false" ht="15" hidden="false" customHeight="true" outlineLevel="0" collapsed="false">
      <c r="B22" s="73" t="s">
        <v>453</v>
      </c>
      <c r="C22" s="81" t="n">
        <f aca="false">C10*Hipotesis!C34</f>
        <v>401.679</v>
      </c>
      <c r="D22" s="81" t="n">
        <f aca="false">D10*Hipotesis!D34</f>
        <v>476.3772</v>
      </c>
      <c r="E22" s="81" t="n">
        <f aca="false">E10*Hipotesis!E34</f>
        <v>553.574736</v>
      </c>
      <c r="F22" s="81" t="n">
        <f aca="false">F10*Hipotesis!F34</f>
        <v>567.4141044</v>
      </c>
      <c r="G22" s="81" t="n">
        <f aca="false">G10*Hipotesis!G34</f>
        <v>593.2314461502</v>
      </c>
      <c r="H22" s="81" t="n">
        <f aca="false">H10*Hipotesis!H34</f>
        <v>539.301314682</v>
      </c>
      <c r="L22" s="96" t="n">
        <v>0.11</v>
      </c>
      <c r="M22" s="97" t="n">
        <f aca="false">(C44+((G16*M$17*(1-Hipotesis!$C$13)+G31+G33+G35)*(1+Hipotesis!$C$47)/($L$22-Hipotesis!$C$47))/(1+$L$22)^5+Hipotesis!$C$15+Hipotesis!$C$16-Hipotesis!$C$14)/Hipotesis!$C$8</f>
        <v>20.9630217489189</v>
      </c>
      <c r="N22" s="97" t="n">
        <f aca="false">(C44+((G16*N$17*(1-Hipotesis!$C$13)+G31+G33+G35)*(1+Hipotesis!$C$47)/($L$22-Hipotesis!$C$47))/(1+$L$22)^5+Hipotesis!$C$15+Hipotesis!$C$16-Hipotesis!$C$14)/Hipotesis!$C$8</f>
        <v>25.8856468099673</v>
      </c>
      <c r="O22" s="97" t="n">
        <f aca="false">(C44+((G16*O$17*(1-Hipotesis!$C$13)+G31+G33+G35)*(1+Hipotesis!$C$47)/($L$22-Hipotesis!$C$47))/(1+$L$22)^5+Hipotesis!$C$15+Hipotesis!$C$16-Hipotesis!$C$14)/Hipotesis!$C$8</f>
        <v>30.8082718710157</v>
      </c>
      <c r="P22" s="97" t="n">
        <f aca="false">(C44+((G16*P$17*(1-Hipotesis!$C$13)+G31+G33+G35)*(1+Hipotesis!$C$47)/($L$22-Hipotesis!$C$47))/(1+$L$22)^5+Hipotesis!$C$15+Hipotesis!$C$16-Hipotesis!$C$14)/Hipotesis!$C$8</f>
        <v>35.7308969320642</v>
      </c>
      <c r="Q22" s="97" t="n">
        <f aca="false">(C44+((G16*Q$17*(1-Hipotesis!$C$13)+G31+G33+G35)*(1+Hipotesis!$C$47)/($L$22-Hipotesis!$C$47))/(1+$L$22)^5+Hipotesis!$C$15+Hipotesis!$C$16-Hipotesis!$C$14)/Hipotesis!$C$8</f>
        <v>40.6535219931126</v>
      </c>
    </row>
    <row r="23" customFormat="false" ht="15" hidden="false" customHeight="true" outlineLevel="0" collapsed="false">
      <c r="B23" s="76" t="s">
        <v>454</v>
      </c>
      <c r="C23" s="78" t="n">
        <f aca="false">C22/C10</f>
        <v>0.18</v>
      </c>
      <c r="D23" s="78" t="n">
        <f aca="false">D22/D10</f>
        <v>0.2</v>
      </c>
      <c r="E23" s="78" t="n">
        <f aca="false">E22/E10</f>
        <v>0.22</v>
      </c>
      <c r="F23" s="78" t="n">
        <f aca="false">F22/F10</f>
        <v>0.22</v>
      </c>
      <c r="G23" s="78" t="n">
        <f aca="false">G22/G10</f>
        <v>0.22</v>
      </c>
      <c r="H23" s="78" t="n">
        <f aca="false">H22/H10</f>
        <v>0.2</v>
      </c>
    </row>
    <row r="24" customFormat="false" ht="15" hidden="false" customHeight="true" outlineLevel="0" collapsed="false">
      <c r="B24" s="73" t="s">
        <v>455</v>
      </c>
      <c r="C24" s="81" t="n">
        <f aca="false">C13*Hipotesis!C35</f>
        <v>349.965</v>
      </c>
      <c r="D24" s="81" t="n">
        <f aca="false">D13*Hipotesis!D35</f>
        <v>595.5768</v>
      </c>
      <c r="E24" s="81" t="n">
        <f aca="false">E13*Hipotesis!E35</f>
        <v>797.4773352</v>
      </c>
      <c r="F24" s="81" t="n">
        <f aca="false">F13*Hipotesis!F35</f>
        <v>943.1703099</v>
      </c>
      <c r="G24" s="81" t="n">
        <f aca="false">G13*Hipotesis!G35</f>
        <v>1097.4310539192</v>
      </c>
      <c r="H24" s="81" t="n">
        <f aca="false">H13*Hipotesis!H35</f>
        <v>997.664594472</v>
      </c>
      <c r="L24" s="83" t="s">
        <v>456</v>
      </c>
      <c r="M24" s="83"/>
      <c r="N24" s="83"/>
      <c r="O24" s="83"/>
      <c r="P24" s="83"/>
      <c r="Q24" s="83"/>
      <c r="R24" s="83"/>
    </row>
    <row r="25" customFormat="false" ht="15" hidden="false" customHeight="true" outlineLevel="0" collapsed="false">
      <c r="B25" s="76" t="s">
        <v>457</v>
      </c>
      <c r="C25" s="78" t="n">
        <f aca="false">C24/C13</f>
        <v>0.1</v>
      </c>
      <c r="D25" s="78" t="n">
        <f aca="false">D24/D13</f>
        <v>0.15</v>
      </c>
      <c r="E25" s="78" t="n">
        <f aca="false">E24/E13</f>
        <v>0.18</v>
      </c>
      <c r="F25" s="78" t="n">
        <f aca="false">F24/F13</f>
        <v>0.2</v>
      </c>
      <c r="G25" s="78" t="n">
        <f aca="false">G24/G13</f>
        <v>0.22</v>
      </c>
      <c r="H25" s="78" t="n">
        <f aca="false">H24/H13</f>
        <v>0.2</v>
      </c>
    </row>
    <row r="26" customFormat="false" ht="15" hidden="false" customHeight="true" outlineLevel="0" collapsed="false">
      <c r="B26" s="67" t="s">
        <v>458</v>
      </c>
      <c r="C26" s="100" t="n">
        <f aca="false">C20+C22+C24+C28</f>
        <v>6669.764</v>
      </c>
      <c r="D26" s="100" t="n">
        <f aca="false">D20+D22+D24+D28</f>
        <v>7772.58376</v>
      </c>
      <c r="E26" s="100" t="n">
        <f aca="false">E20+E22+E24+E28</f>
        <v>8239.84714945</v>
      </c>
      <c r="F26" s="100" t="n">
        <f aca="false">F20+F22+F24+F28</f>
        <v>8421.81299761</v>
      </c>
      <c r="G26" s="100" t="n">
        <f aca="false">G20+G22+G24+G28</f>
        <v>8690.55951212905</v>
      </c>
      <c r="H26" s="100" t="n">
        <f aca="false">H20+H22+H24+H28</f>
        <v>8397.3304325611</v>
      </c>
      <c r="L26" s="71" t="s">
        <v>459</v>
      </c>
      <c r="M26" s="94" t="n">
        <v>0.02</v>
      </c>
      <c r="N26" s="94" t="n">
        <v>0.025</v>
      </c>
      <c r="O26" s="94" t="n">
        <v>0.03</v>
      </c>
      <c r="P26" s="94" t="n">
        <v>0.035</v>
      </c>
      <c r="Q26" s="94" t="n">
        <v>0.04</v>
      </c>
    </row>
    <row r="27" customFormat="false" ht="15" hidden="false" customHeight="true" outlineLevel="0" collapsed="false">
      <c r="B27" s="76" t="s">
        <v>293</v>
      </c>
      <c r="C27" s="78" t="n">
        <f aca="false">C26/C16</f>
        <v>0.341574987837042</v>
      </c>
      <c r="D27" s="78" t="n">
        <f aca="false">D26/D16</f>
        <v>0.390085650794371</v>
      </c>
      <c r="E27" s="78" t="n">
        <f aca="false">E26/E16</f>
        <v>0.399187409086576</v>
      </c>
      <c r="F27" s="78" t="n">
        <f aca="false">F26/F16</f>
        <v>0.400237290713626</v>
      </c>
      <c r="G27" s="78" t="n">
        <f aca="false">G26/G16</f>
        <v>0.401632684152815</v>
      </c>
      <c r="H27" s="78" t="n">
        <f aca="false">H26/H16</f>
        <v>0.388081153651911</v>
      </c>
      <c r="L27" s="94" t="n">
        <v>0.17</v>
      </c>
      <c r="M27" s="97" t="n">
        <f aca="false">(C44+((G30+G31+(-G16*$L$27)+G35)*(1+M$26)/(Hipotesis!$C$25-M$26))/(1+Hipotesis!$C$25)^5+Hipotesis!$C$15+Hipotesis!$C$16-Hipotesis!$C$14)/Hipotesis!$C$8</f>
        <v>62.7515507694698</v>
      </c>
      <c r="N27" s="97" t="n">
        <f aca="false">(C44+((G30+G31+(-G16*$L$27)+G35)*(1+N$26)/(Hipotesis!$C$25-N$26))/(1+Hipotesis!$C$25)^5+Hipotesis!$C$15+Hipotesis!$C$16-Hipotesis!$C$14)/Hipotesis!$C$8</f>
        <v>67.2400123139023</v>
      </c>
      <c r="O27" s="97" t="n">
        <f aca="false">(C44+((G30+G31+(-G16*$L$27)+G35)*(1+O$26)/(Hipotesis!$C$25-O$26))/(1+Hipotesis!$C$25)^5+Hipotesis!$C$15+Hipotesis!$C$16-Hipotesis!$C$14)/Hipotesis!$C$8</f>
        <v>72.4877066098804</v>
      </c>
      <c r="P27" s="97" t="n">
        <f aca="false">(C44+((G30+G31+(-G16*$L$27)+G35)*(1+P$26)/(Hipotesis!$C$25-P$26))/(1+Hipotesis!$C$25)^5+Hipotesis!$C$15+Hipotesis!$C$16-Hipotesis!$C$14)/Hipotesis!$C$8</f>
        <v>78.7050702937428</v>
      </c>
      <c r="Q27" s="97" t="n">
        <f aca="false">(C44+((G30+G31+(-G16*$L$27)+G35)*(1+Q$26)/(Hipotesis!$C$25-Q$26))/(1+Hipotesis!$C$25)^5+Hipotesis!$C$15+Hipotesis!$C$16-Hipotesis!$C$14)/Hipotesis!$C$8</f>
        <v>86.1882254855069</v>
      </c>
    </row>
    <row r="28" customFormat="false" ht="15" hidden="false" customHeight="true" outlineLevel="0" collapsed="false">
      <c r="B28" s="1" t="s">
        <v>460</v>
      </c>
      <c r="C28" s="1" t="n">
        <f aca="false">Hipotesis!$C$57*Hipotesis!$C$58</f>
        <v>400</v>
      </c>
      <c r="D28" s="102" t="n">
        <f aca="false">Hipotesis!$C$57</f>
        <v>1000</v>
      </c>
      <c r="E28" s="102" t="n">
        <f aca="false">Hipotesis!$C$57</f>
        <v>1000</v>
      </c>
      <c r="F28" s="102" t="n">
        <f aca="false">Hipotesis!$C$57</f>
        <v>1000</v>
      </c>
      <c r="G28" s="102" t="n">
        <f aca="false">Hipotesis!$C$57</f>
        <v>1000</v>
      </c>
      <c r="H28" s="102" t="n">
        <f aca="false">Hipotesis!$C$57</f>
        <v>1000</v>
      </c>
      <c r="L28" s="94" t="n">
        <v>0.2</v>
      </c>
      <c r="M28" s="97" t="n">
        <f aca="false">(C44+((G30+G31+(-G16*$L$28)+G35)*(1+M$26)/(Hipotesis!$C$25-M$26))/(1+Hipotesis!$C$25)^5+Hipotesis!$C$15+Hipotesis!$C$16-Hipotesis!$C$14)/Hipotesis!$C$8</f>
        <v>57.3297723255634</v>
      </c>
      <c r="N28" s="97" t="n">
        <f aca="false">(C44+((G30+G31+(-G16*$L$28)+G35)*(1+N$26)/(Hipotesis!$C$25-N$26))/(1+Hipotesis!$C$25)^5+Hipotesis!$C$15+Hipotesis!$C$16-Hipotesis!$C$14)/Hipotesis!$C$8</f>
        <v>61.3667896444629</v>
      </c>
      <c r="O28" s="97" t="n">
        <f aca="false">(C44+((G30+G31+(-G16*$L$28)+G35)*(1+O$26)/(Hipotesis!$C$25-O$26))/(1+Hipotesis!$C$25)^5+Hipotesis!$C$15+Hipotesis!$C$16-Hipotesis!$C$14)/Hipotesis!$C$8</f>
        <v>66.0866769705405</v>
      </c>
      <c r="P28" s="97" t="n">
        <f aca="false">(C44+((G30+G31+(-G16*$L$28)+G35)*(1+P$26)/(Hipotesis!$C$25-P$26))/(1+Hipotesis!$C$25)^5+Hipotesis!$C$15+Hipotesis!$C$16-Hipotesis!$C$14)/Hipotesis!$C$8</f>
        <v>71.6787054687645</v>
      </c>
      <c r="Q28" s="97" t="n">
        <f aca="false">(C44+((G30+G31+(-G16*$L$28)+G35)*(1+Q$26)/(Hipotesis!$C$25-Q$26))/(1+Hipotesis!$C$25)^5+Hipotesis!$C$15+Hipotesis!$C$16-Hipotesis!$C$14)/Hipotesis!$C$8</f>
        <v>78.4092136418013</v>
      </c>
    </row>
    <row r="29" customFormat="false" ht="15" hidden="false" customHeight="true" outlineLevel="0" collapsed="false">
      <c r="B29" s="72" t="s">
        <v>461</v>
      </c>
      <c r="C29" s="72"/>
      <c r="D29" s="72"/>
      <c r="E29" s="72"/>
      <c r="F29" s="72"/>
      <c r="G29" s="72"/>
      <c r="H29" s="72"/>
      <c r="L29" s="94" t="n">
        <v>0.225</v>
      </c>
      <c r="M29" s="97" t="n">
        <f aca="false">(C44+((G30+G31+(-G16*$L$29)+G35)*(1+M$26)/(Hipotesis!$C$25-M$26))/(1+Hipotesis!$C$25)^5+Hipotesis!$C$15+Hipotesis!$C$16-Hipotesis!$C$14)/Hipotesis!$C$8</f>
        <v>52.8116236223081</v>
      </c>
      <c r="N29" s="97" t="n">
        <f aca="false">(C44+((G30+G31+(-G16*$L$29)+G35)*(1+N$26)/(Hipotesis!$C$25-N$26))/(1+Hipotesis!$C$25)^5+Hipotesis!$C$15+Hipotesis!$C$16-Hipotesis!$C$14)/Hipotesis!$C$8</f>
        <v>56.4724374199301</v>
      </c>
      <c r="O29" s="99" t="n">
        <f aca="false">(C44+((G30+G31+(-G16*$L$29)+G35)*(1+O$26)/(Hipotesis!$C$25-O$26))/(1+Hipotesis!$C$25)^5+Hipotesis!$C$15+Hipotesis!$C$16-Hipotesis!$C$14)/Hipotesis!$C$8</f>
        <v>60.7524856044239</v>
      </c>
      <c r="P29" s="97" t="n">
        <f aca="false">(C44+((G30+G31+(-G16*$L$29)+G35)*(1+P$26)/(Hipotesis!$C$25-P$26))/(1+Hipotesis!$C$25)^5+Hipotesis!$C$15+Hipotesis!$C$16-Hipotesis!$C$14)/Hipotesis!$C$8</f>
        <v>65.8234014479493</v>
      </c>
      <c r="Q29" s="97" t="n">
        <f aca="false">(C44+((G30+G31+(-G16*$L$29)+G35)*(1+Q$26)/(Hipotesis!$C$25-Q$26))/(1+Hipotesis!$C$25)^5+Hipotesis!$C$15+Hipotesis!$C$16-Hipotesis!$C$14)/Hipotesis!$C$8</f>
        <v>71.9267037720466</v>
      </c>
    </row>
    <row r="30" customFormat="false" ht="15" hidden="false" customHeight="true" outlineLevel="0" collapsed="false">
      <c r="B30" s="73" t="s">
        <v>462</v>
      </c>
      <c r="C30" s="81" t="n">
        <f aca="false">C26*(1-Hipotesis!$C$13)</f>
        <v>5202.41592</v>
      </c>
      <c r="D30" s="81" t="n">
        <f aca="false">D26*(1-Hipotesis!$C$13)</f>
        <v>6062.6153328</v>
      </c>
      <c r="E30" s="81" t="n">
        <f aca="false">E26*(1-Hipotesis!$C$13)</f>
        <v>6427.080776571</v>
      </c>
      <c r="F30" s="81" t="n">
        <f aca="false">F26*(1-Hipotesis!$C$13)</f>
        <v>6569.0141381358</v>
      </c>
      <c r="G30" s="81" t="n">
        <f aca="false">G26*(1-Hipotesis!$C$13)</f>
        <v>6778.63641946066</v>
      </c>
      <c r="H30" s="81" t="n">
        <f aca="false">H26*(1-Hipotesis!$C$13)</f>
        <v>6549.91773739766</v>
      </c>
      <c r="L30" s="94" t="n">
        <v>0.25</v>
      </c>
      <c r="M30" s="97" t="n">
        <f aca="false">(C44+((G30+G31+(-G16*$L$30)+G35)*(1+M$26)/(Hipotesis!$C$25-M$26))/(1+Hipotesis!$C$25)^5+Hipotesis!$C$15+Hipotesis!$C$16-Hipotesis!$C$14)/Hipotesis!$C$8</f>
        <v>48.2934749190528</v>
      </c>
      <c r="N30" s="97" t="n">
        <f aca="false">(C44+((G30+G31+(-G16*$L$30)+G35)*(1+N$26)/(Hipotesis!$C$25-N$26))/(1+Hipotesis!$C$25)^5+Hipotesis!$C$15+Hipotesis!$C$16-Hipotesis!$C$14)/Hipotesis!$C$8</f>
        <v>51.5780851953972</v>
      </c>
      <c r="O30" s="97" t="n">
        <f aca="false">(C44+((G30+G31+(-G16*$L$30)+G35)*(1+O$26)/(Hipotesis!$C$25-O$26))/(1+Hipotesis!$C$25)^5+Hipotesis!$C$15+Hipotesis!$C$16-Hipotesis!$C$14)/Hipotesis!$C$8</f>
        <v>55.4182942383073</v>
      </c>
      <c r="P30" s="97" t="n">
        <f aca="false">(C44+((G30+G31+(-G16*$L$30)+G35)*(1+P$26)/(Hipotesis!$C$25-P$26))/(1+Hipotesis!$C$25)^5+Hipotesis!$C$15+Hipotesis!$C$16-Hipotesis!$C$14)/Hipotesis!$C$8</f>
        <v>59.968097427134</v>
      </c>
      <c r="Q30" s="97" t="n">
        <f aca="false">(C44+((G30+G31+(-G16*$L$30)+G35)*(1+Q$26)/(Hipotesis!$C$25-Q$26))/(1+Hipotesis!$C$25)^5+Hipotesis!$C$15+Hipotesis!$C$16-Hipotesis!$C$14)/Hipotesis!$C$8</f>
        <v>65.4441939022919</v>
      </c>
    </row>
    <row r="31" customFormat="false" ht="15" hidden="false" customHeight="true" outlineLevel="0" collapsed="false">
      <c r="B31" s="73" t="s">
        <v>463</v>
      </c>
      <c r="C31" s="81" t="n">
        <f aca="false">C16*Hipotesis!C40</f>
        <v>3026.6075</v>
      </c>
      <c r="D31" s="81" t="n">
        <f aca="false">D16*Hipotesis!D40</f>
        <v>3188.05216</v>
      </c>
      <c r="E31" s="81" t="n">
        <f aca="false">E16*Hipotesis!E40</f>
        <v>3302.6481144</v>
      </c>
      <c r="F31" s="81" t="n">
        <f aca="false">F16*Hipotesis!F40</f>
        <v>3261.5177169075</v>
      </c>
      <c r="G31" s="81" t="n">
        <f aca="false">G16*Hipotesis!G40</f>
        <v>3353.90215370887</v>
      </c>
      <c r="H31" s="81" t="n">
        <f aca="false">H16*Hipotesis!H40</f>
        <v>3245.71176165375</v>
      </c>
      <c r="L31" s="94" t="n">
        <v>0.3</v>
      </c>
      <c r="M31" s="97" t="n">
        <f aca="false">(C44+((G30+G31+(-G16*$L$31)+G35)*(1+M$26)/(Hipotesis!$C$25-M$26))/(1+Hipotesis!$C$25)^5+Hipotesis!$C$15+Hipotesis!$C$16-Hipotesis!$C$14)/Hipotesis!$C$8</f>
        <v>39.2571775125421</v>
      </c>
      <c r="N31" s="97" t="n">
        <f aca="false">(C44+((G30+G31+(-G16*$L$31)+G35)*(1+N$26)/(Hipotesis!$C$25-N$26))/(1+Hipotesis!$C$25)^5+Hipotesis!$C$15+Hipotesis!$C$16-Hipotesis!$C$14)/Hipotesis!$C$8</f>
        <v>41.7893807463315</v>
      </c>
      <c r="O31" s="97" t="n">
        <f aca="false">(C44+((G30+G31+(-G16*$L$31)+G35)*(1+O$26)/(Hipotesis!$C$25-O$26))/(1+Hipotesis!$C$25)^5+Hipotesis!$C$15+Hipotesis!$C$16-Hipotesis!$C$14)/Hipotesis!$C$8</f>
        <v>44.7499115060741</v>
      </c>
      <c r="P31" s="97" t="n">
        <f aca="false">(C44+((G30+G31+(-G16*$L$31)+G35)*(1+P$26)/(Hipotesis!$C$25-P$26))/(1+Hipotesis!$C$25)^5+Hipotesis!$C$15+Hipotesis!$C$16-Hipotesis!$C$14)/Hipotesis!$C$8</f>
        <v>48.2574893855035</v>
      </c>
      <c r="Q31" s="97" t="n">
        <f aca="false">(C44+((G30+G31+(-G16*$L$31)+G35)*(1+Q$26)/(Hipotesis!$C$25-Q$26))/(1+Hipotesis!$C$25)^5+Hipotesis!$C$15+Hipotesis!$C$16-Hipotesis!$C$14)/Hipotesis!$C$8</f>
        <v>52.4791741627826</v>
      </c>
    </row>
    <row r="32" customFormat="false" ht="15" hidden="false" customHeight="true" outlineLevel="0" collapsed="false">
      <c r="B32" s="76" t="s">
        <v>333</v>
      </c>
      <c r="C32" s="78" t="n">
        <f aca="false">C31/C16</f>
        <v>0.155</v>
      </c>
      <c r="D32" s="78" t="n">
        <f aca="false">D31/D16</f>
        <v>0.16</v>
      </c>
      <c r="E32" s="78" t="n">
        <f aca="false">E31/E16</f>
        <v>0.16</v>
      </c>
      <c r="F32" s="78" t="n">
        <f aca="false">F31/F16</f>
        <v>0.155</v>
      </c>
      <c r="G32" s="78" t="n">
        <f aca="false">G31/G16</f>
        <v>0.155</v>
      </c>
      <c r="H32" s="78" t="n">
        <f aca="false">H31/H16</f>
        <v>0.15</v>
      </c>
    </row>
    <row r="33" customFormat="false" ht="15" hidden="false" customHeight="true" outlineLevel="0" collapsed="false">
      <c r="B33" s="73" t="s">
        <v>464</v>
      </c>
      <c r="C33" s="84" t="n">
        <f aca="false">-C16*Hipotesis!C39</f>
        <v>-4393.4625</v>
      </c>
      <c r="D33" s="84" t="n">
        <f aca="false">-D16*Hipotesis!D39</f>
        <v>-4383.57172</v>
      </c>
      <c r="E33" s="84" t="n">
        <f aca="false">-E16*Hipotesis!E39</f>
        <v>-4437.933403725</v>
      </c>
      <c r="F33" s="84" t="n">
        <f aca="false">-F16*Hipotesis!F39</f>
        <v>-4524.0407040975</v>
      </c>
      <c r="G33" s="84" t="n">
        <f aca="false">-G16*Hipotesis!G39</f>
        <v>-4652.18685837037</v>
      </c>
      <c r="H33" s="84" t="n">
        <f aca="false">-H16*Hipotesis!H39</f>
        <v>-4760.3772504255</v>
      </c>
      <c r="L33" s="83" t="s">
        <v>465</v>
      </c>
      <c r="M33" s="83"/>
      <c r="N33" s="83"/>
      <c r="O33" s="83"/>
      <c r="P33" s="83"/>
      <c r="Q33" s="83"/>
      <c r="R33" s="83"/>
    </row>
    <row r="34" customFormat="false" ht="15" hidden="false" customHeight="true" outlineLevel="0" collapsed="false">
      <c r="B34" s="76" t="s">
        <v>322</v>
      </c>
      <c r="C34" s="78" t="n">
        <f aca="false">-C33/C16</f>
        <v>0.225</v>
      </c>
      <c r="D34" s="78" t="n">
        <f aca="false">-D33/D16</f>
        <v>0.22</v>
      </c>
      <c r="E34" s="78" t="n">
        <f aca="false">-E33/E16</f>
        <v>0.215</v>
      </c>
      <c r="F34" s="78" t="n">
        <f aca="false">-F33/F16</f>
        <v>0.215</v>
      </c>
      <c r="G34" s="78" t="n">
        <f aca="false">-G33/G16</f>
        <v>0.215</v>
      </c>
      <c r="H34" s="78" t="n">
        <f aca="false">-H33/H16</f>
        <v>0.22</v>
      </c>
    </row>
    <row r="35" customFormat="false" ht="15" hidden="false" customHeight="true" outlineLevel="0" collapsed="false">
      <c r="B35" s="73" t="s">
        <v>466</v>
      </c>
      <c r="C35" s="84" t="n">
        <f aca="false">-C16*Hipotesis!C42</f>
        <v>-97.6325</v>
      </c>
      <c r="D35" s="84" t="n">
        <f aca="false">-D16*Hipotesis!D42</f>
        <v>-59.775978</v>
      </c>
      <c r="E35" s="84" t="n">
        <f aca="false">-E16*Hipotesis!E42</f>
        <v>-0</v>
      </c>
      <c r="F35" s="84" t="n">
        <f aca="false">-F16*Hipotesis!F42</f>
        <v>-0</v>
      </c>
      <c r="G35" s="84" t="n">
        <f aca="false">-G16*Hipotesis!G42</f>
        <v>-0</v>
      </c>
      <c r="H35" s="84" t="n">
        <f aca="false">-H16*Hipotesis!H42</f>
        <v>-0</v>
      </c>
      <c r="L35" s="71" t="s">
        <v>467</v>
      </c>
      <c r="M35" s="103" t="n">
        <v>4</v>
      </c>
      <c r="N35" s="103" t="n">
        <v>5</v>
      </c>
      <c r="O35" s="103" t="n">
        <v>5.5</v>
      </c>
      <c r="P35" s="103" t="n">
        <v>6.5</v>
      </c>
      <c r="Q35" s="103" t="n">
        <v>8</v>
      </c>
    </row>
    <row r="36" customFormat="false" ht="15" hidden="false" customHeight="true" outlineLevel="0" collapsed="false">
      <c r="B36" s="67" t="s">
        <v>468</v>
      </c>
      <c r="C36" s="100" t="n">
        <f aca="false">C30+C31+C33+C35</f>
        <v>3737.92842</v>
      </c>
      <c r="D36" s="100" t="n">
        <f aca="false">D30+D31+D33+D35</f>
        <v>4807.3197948</v>
      </c>
      <c r="E36" s="100" t="n">
        <f aca="false">E30+E31+E33+E35</f>
        <v>5291.795487246</v>
      </c>
      <c r="F36" s="100" t="n">
        <f aca="false">F30+F31+F33+F35</f>
        <v>5306.4911509458</v>
      </c>
      <c r="G36" s="100" t="n">
        <f aca="false">G30+G31+G33+G35</f>
        <v>5480.35171479916</v>
      </c>
      <c r="H36" s="100" t="n">
        <f aca="false">H30+H31+H33+H35</f>
        <v>5035.25224862591</v>
      </c>
      <c r="L36" s="96" t="n">
        <v>0.075</v>
      </c>
      <c r="M36" s="97" t="n">
        <f aca="false">((C36/(1+$L$36)^0.5 + D36/(1+$L$36)^1.5 + E36/(1+$L$36)^2.5 + F36/(1+$L$36)^3.5 + G36/(1+$L$36)^4.5)+(M$35*(G26+G31))/(1+$L$36)^5+Hipotesis!$C$15+Hipotesis!$C$16-Hipotesis!$C$14)/Hipotesis!$C$8</f>
        <v>38.522363098428</v>
      </c>
      <c r="N36" s="97" t="n">
        <f aca="false">((C36/(1+$L$36)^0.5 + D36/(1+$L$36)^1.5 + E36/(1+$L$36)^2.5 + F36/(1+$L$36)^3.5 + G36/(1+$L$36)^4.5)+(N$35*(G26+G31))/(1+$L$36)^5+Hipotesis!$C$15+Hipotesis!$C$16-Hipotesis!$C$14)/Hipotesis!$C$8</f>
        <v>45.798749694568</v>
      </c>
      <c r="O36" s="97" t="n">
        <f aca="false">((C36/(1+$L$36)^0.5 + D36/(1+$L$36)^1.5 + E36/(1+$L$36)^2.5 + F36/(1+$L$36)^3.5 + G36/(1+$L$36)^4.5)+(O$35*(G26+G31))/(1+$L$36)^5+Hipotesis!$C$15+Hipotesis!$C$16-Hipotesis!$C$14)/Hipotesis!$C$8</f>
        <v>49.4369429926381</v>
      </c>
      <c r="P36" s="97" t="n">
        <f aca="false">((C36/(1+$L$36)^0.5 + D36/(1+$L$36)^1.5 + E36/(1+$L$36)^2.5 + F36/(1+$L$36)^3.5 + G36/(1+$L$36)^4.5)+(P$35*(G26+G31))/(1+$L$36)^5+Hipotesis!$C$15+Hipotesis!$C$16-Hipotesis!$C$14)/Hipotesis!$C$8</f>
        <v>56.7133295887781</v>
      </c>
      <c r="Q36" s="97" t="n">
        <f aca="false">((C36/(1+$L$36)^0.5 + D36/(1+$L$36)^1.5 + E36/(1+$L$36)^2.5 + F36/(1+$L$36)^3.5 + G36/(1+$L$36)^4.5)+(Q$35*(G26+G31))/(1+$L$36)^5+Hipotesis!$C$15+Hipotesis!$C$16-Hipotesis!$C$14)/Hipotesis!$C$8</f>
        <v>67.6279094829882</v>
      </c>
    </row>
    <row r="37" customFormat="false" ht="15" hidden="false" customHeight="true" outlineLevel="0" collapsed="false">
      <c r="B37" s="76" t="s">
        <v>469</v>
      </c>
      <c r="C37" s="78" t="n">
        <f aca="false">C36/C16</f>
        <v>0.191428490512893</v>
      </c>
      <c r="D37" s="78" t="n">
        <f aca="false">D36/D16</f>
        <v>0.241266807619609</v>
      </c>
      <c r="E37" s="78" t="n">
        <f aca="false">E36/E16</f>
        <v>0.256366179087529</v>
      </c>
      <c r="F37" s="78" t="n">
        <f aca="false">F36/F16</f>
        <v>0.252185086756629</v>
      </c>
      <c r="G37" s="78" t="n">
        <f aca="false">G36/G16</f>
        <v>0.253273493639196</v>
      </c>
      <c r="H37" s="78" t="n">
        <f aca="false">H36/H16</f>
        <v>0.232703299848491</v>
      </c>
      <c r="L37" s="96" t="n">
        <v>0.085</v>
      </c>
      <c r="M37" s="97" t="n">
        <f aca="false">((C36/(1+$L$37)^0.5 + D36/(1+$L$37)^1.5 + E36/(1+$L$37)^2.5 + F36/(1+$L$37)^3.5 + G36/(1+$L$37)^4.5)+(M$35*(G26+G31))/(1+$L$37)^5+Hipotesis!$C$15+Hipotesis!$C$16-Hipotesis!$C$14)/Hipotesis!$C$8</f>
        <v>36.7978678475151</v>
      </c>
      <c r="N37" s="97" t="n">
        <f aca="false">((C36/(1+$L$37)^0.5 + D36/(1+$L$37)^1.5 + E36/(1+$L$37)^2.5 + F36/(1+$L$37)^3.5 + G36/(1+$L$37)^4.5)+(N$35*(G26+G31))/(1+$L$37)^5+Hipotesis!$C$15+Hipotesis!$C$16-Hipotesis!$C$14)/Hipotesis!$C$8</f>
        <v>43.745061348676</v>
      </c>
      <c r="O37" s="97" t="n">
        <f aca="false">((C36/(1+$L$37)^0.5 + D36/(1+$L$37)^1.5 + E36/(1+$L$37)^2.5 + F36/(1+$L$37)^3.5 + G36/(1+$L$37)^4.5)+(O$35*(G26+G31))/(1+$L$37)^5+Hipotesis!$C$15+Hipotesis!$C$16-Hipotesis!$C$14)/Hipotesis!$C$8</f>
        <v>47.2186580992564</v>
      </c>
      <c r="P37" s="97" t="n">
        <f aca="false">((C36/(1+$L$37)^0.5 + D36/(1+$L$37)^1.5 + E36/(1+$L$37)^2.5 + F36/(1+$L$37)^3.5 + G36/(1+$L$37)^4.5)+(P$35*(G26+G31))/(1+$L$37)^5+Hipotesis!$C$15+Hipotesis!$C$16-Hipotesis!$C$14)/Hipotesis!$C$8</f>
        <v>54.1658516004173</v>
      </c>
      <c r="Q37" s="97" t="n">
        <f aca="false">((C36/(1+$L$37)^0.5 + D36/(1+$L$37)^1.5 + E36/(1+$L$37)^2.5 + F36/(1+$L$37)^3.5 + G36/(1+$L$37)^4.5)+(Q$35*(G26+G31))/(1+$L$37)^5+Hipotesis!$C$15+Hipotesis!$C$16-Hipotesis!$C$14)/Hipotesis!$C$8</f>
        <v>64.5866418521587</v>
      </c>
    </row>
    <row r="38" customFormat="false" ht="15" hidden="false" customHeight="true" outlineLevel="0" collapsed="false">
      <c r="B38" s="76" t="s">
        <v>470</v>
      </c>
      <c r="C38" s="78" t="n">
        <f aca="false">C36/C30</f>
        <v>0.718498574024047</v>
      </c>
      <c r="D38" s="78" t="n">
        <f aca="false">D36/D30</f>
        <v>0.792944881195316</v>
      </c>
      <c r="E38" s="78" t="n">
        <f aca="false">E36/E30</f>
        <v>0.823359106755976</v>
      </c>
      <c r="F38" s="78" t="n">
        <f aca="false">F36/F30</f>
        <v>0.807806322129749</v>
      </c>
      <c r="G38" s="78" t="n">
        <f aca="false">G36/G30</f>
        <v>0.808474061105523</v>
      </c>
      <c r="H38" s="78" t="n">
        <f aca="false">H36/H30</f>
        <v>0.768750456189158</v>
      </c>
      <c r="L38" s="96" t="n">
        <v>0.089</v>
      </c>
      <c r="M38" s="97" t="n">
        <f aca="false">((C36/(1+$L$38)^0.5 + D36/(1+$L$38)^1.5 + E36/(1+$L$38)^2.5 + F36/(1+$L$38)^3.5 + G36/(1+$L$38)^4.5)+(M$35*(G26+G31))/(1+$L$38)^5+Hipotesis!$C$15+Hipotesis!$C$16-Hipotesis!$C$14)/Hipotesis!$C$8</f>
        <v>36.132603886911</v>
      </c>
      <c r="N38" s="97" t="n">
        <f aca="false">((C36/(1+$L$38)^0.5 + D36/(1+$L$38)^1.5 + E36/(1+$L$38)^2.5 + F36/(1+$L$38)^3.5 + G36/(1+$L$38)^4.5)+(N$35*(G26+G31))/(1+$L$38)^5+Hipotesis!$C$15+Hipotesis!$C$16-Hipotesis!$C$14)/Hipotesis!$C$8</f>
        <v>42.9531427467981</v>
      </c>
      <c r="O38" s="99" t="n">
        <f aca="false">((C36/(1+$L$38)^0.5 + D36/(1+$L$38)^1.5 + E36/(1+$L$38)^2.5 + F36/(1+$L$38)^3.5 + G36/(1+$L$38)^4.5)+(O$35*(G26+G31))/(1+$L$38)^5+Hipotesis!$C$15+Hipotesis!$C$16-Hipotesis!$C$14)/Hipotesis!$C$8</f>
        <v>46.3634121767417</v>
      </c>
      <c r="P38" s="97" t="n">
        <f aca="false">((C36/(1+$L$38)^0.5 + D36/(1+$L$38)^1.5 + E36/(1+$L$38)^2.5 + F36/(1+$L$38)^3.5 + G36/(1+$L$38)^4.5)+(P$35*(G26+G31))/(1+$L$38)^5+Hipotesis!$C$15+Hipotesis!$C$16-Hipotesis!$C$14)/Hipotesis!$C$8</f>
        <v>53.1839510366287</v>
      </c>
      <c r="Q38" s="97" t="n">
        <f aca="false">((C36/(1+$L$38)^0.5 + D36/(1+$L$38)^1.5 + E36/(1+$L$38)^2.5 + F36/(1+$L$38)^3.5 + G36/(1+$L$38)^4.5)+(Q$35*(G26+G31))/(1+$L$38)^5+Hipotesis!$C$15+Hipotesis!$C$16-Hipotesis!$C$14)/Hipotesis!$C$8</f>
        <v>63.4147593264593</v>
      </c>
    </row>
    <row r="39" customFormat="false" ht="15" hidden="false" customHeight="true" outlineLevel="0" collapsed="false">
      <c r="L39" s="96" t="n">
        <v>0.1</v>
      </c>
      <c r="M39" s="97" t="n">
        <f aca="false">((C36/(1+$L$39)^0.5 + D36/(1+$L$39)^1.5 + E36/(1+$L$39)^2.5 + F36/(1+$L$39)^3.5 + G36/(1+$L$39)^4.5)+(M$35*(G26+G31))/(1+$L$39)^5+Hipotesis!$C$15+Hipotesis!$C$16-Hipotesis!$C$14)/Hipotesis!$C$8</f>
        <v>34.3717777635362</v>
      </c>
      <c r="N39" s="97" t="n">
        <f aca="false">((C36/(1+$L$39)^0.5 + D36/(1+$L$39)^1.5 + E36/(1+$L$39)^2.5 + F36/(1+$L$39)^3.5 + G36/(1+$L$39)^4.5)+(N$35*(G26+G31))/(1+$L$39)^5+Hipotesis!$C$15+Hipotesis!$C$16-Hipotesis!$C$14)/Hipotesis!$C$8</f>
        <v>40.8580423542451</v>
      </c>
      <c r="O39" s="97" t="n">
        <f aca="false">((C36/(1+$L$39)^0.5 + D36/(1+$L$39)^1.5 + E36/(1+$L$39)^2.5 + F36/(1+$L$39)^3.5 + G36/(1+$L$39)^4.5)+(O$35*(G26+G31))/(1+$L$39)^5+Hipotesis!$C$15+Hipotesis!$C$16-Hipotesis!$C$14)/Hipotesis!$C$8</f>
        <v>44.1011746495995</v>
      </c>
      <c r="P39" s="97" t="n">
        <f aca="false">((C36/(1+$L$39)^0.5 + D36/(1+$L$39)^1.5 + E36/(1+$L$39)^2.5 + F36/(1+$L$39)^3.5 + G36/(1+$L$39)^4.5)+(P$35*(G26+G31))/(1+$L$39)^5+Hipotesis!$C$15+Hipotesis!$C$16-Hipotesis!$C$14)/Hipotesis!$C$8</f>
        <v>50.5874392403084</v>
      </c>
      <c r="Q39" s="97" t="n">
        <f aca="false">((C36/(1+$L$39)^0.5 + D36/(1+$L$39)^1.5 + E36/(1+$L$39)^2.5 + F36/(1+$L$39)^3.5 + G36/(1+$L$39)^4.5)+(Q$35*(G26+G31))/(1+$L$39)^5+Hipotesis!$C$15+Hipotesis!$C$16-Hipotesis!$C$14)/Hipotesis!$C$8</f>
        <v>60.3168361263718</v>
      </c>
    </row>
    <row r="40" customFormat="false" ht="15" hidden="false" customHeight="true" outlineLevel="0" collapsed="false">
      <c r="B40" s="72" t="s">
        <v>471</v>
      </c>
      <c r="C40" s="72"/>
      <c r="D40" s="72"/>
      <c r="E40" s="72"/>
      <c r="F40" s="72"/>
      <c r="G40" s="72"/>
      <c r="H40" s="72"/>
      <c r="L40" s="96" t="n">
        <v>0.11</v>
      </c>
      <c r="M40" s="97" t="n">
        <f aca="false">((C36/(1+$L$40)^0.5 + D36/(1+$L$40)^1.5 + E36/(1+$L$40)^2.5 + F36/(1+$L$40)^3.5 + G36/(1+$L$40)^4.5)+(M$35*(G26+G31))/(1+$L$40)^5+Hipotesis!$C$15+Hipotesis!$C$16-Hipotesis!$C$14)/Hipotesis!$C$8</f>
        <v>32.8540493000152</v>
      </c>
      <c r="N40" s="97" t="n">
        <f aca="false">((C36/(1+$L$40)^0.5 + D36/(1+$L$40)^1.5 + E36/(1+$L$40)^2.5 + F36/(1+$L$40)^3.5 + G36/(1+$L$40)^4.5)+(N$35*(G26+G31))/(1+$L$40)^5+Hipotesis!$C$15+Hipotesis!$C$16-Hipotesis!$C$14)/Hipotesis!$C$8</f>
        <v>39.0533569941539</v>
      </c>
      <c r="O40" s="97" t="n">
        <f aca="false">((C36/(1+$L$40)^0.5 + D36/(1+$L$40)^1.5 + E36/(1+$L$40)^2.5 + F36/(1+$L$40)^3.5 + G36/(1+$L$40)^4.5)+(O$35*(G26+G31))/(1+$L$40)^5+Hipotesis!$C$15+Hipotesis!$C$16-Hipotesis!$C$14)/Hipotesis!$C$8</f>
        <v>42.1530108412232</v>
      </c>
      <c r="P40" s="97" t="n">
        <f aca="false">((C36/(1+$L$40)^0.5 + D36/(1+$L$40)^1.5 + E36/(1+$L$40)^2.5 + F36/(1+$L$40)^3.5 + G36/(1+$L$40)^4.5)+(P$35*(G26+G31))/(1+$L$40)^5+Hipotesis!$C$15+Hipotesis!$C$16-Hipotesis!$C$14)/Hipotesis!$C$8</f>
        <v>48.3523185353619</v>
      </c>
      <c r="Q40" s="97" t="n">
        <f aca="false">((C36/(1+$L$40)^0.5 + D36/(1+$L$40)^1.5 + E36/(1+$L$40)^2.5 + F36/(1+$L$40)^3.5 + G36/(1+$L$40)^4.5)+(Q$35*(G26+G31))/(1+$L$40)^5+Hipotesis!$C$15+Hipotesis!$C$16-Hipotesis!$C$14)/Hipotesis!$C$8</f>
        <v>57.65128007657</v>
      </c>
    </row>
    <row r="41" customFormat="false" ht="15" hidden="false" customHeight="true" outlineLevel="0" collapsed="false">
      <c r="B41" s="73" t="s">
        <v>472</v>
      </c>
      <c r="C41" s="104" t="n">
        <v>0.5</v>
      </c>
      <c r="D41" s="104" t="n">
        <v>1.5</v>
      </c>
      <c r="E41" s="104" t="n">
        <v>2.5</v>
      </c>
      <c r="F41" s="104" t="n">
        <v>3.5</v>
      </c>
      <c r="G41" s="104" t="n">
        <v>4.5</v>
      </c>
      <c r="H41" s="105" t="s">
        <v>473</v>
      </c>
    </row>
    <row r="42" customFormat="false" ht="15" hidden="false" customHeight="true" outlineLevel="0" collapsed="false">
      <c r="B42" s="73" t="s">
        <v>474</v>
      </c>
      <c r="C42" s="106" t="n">
        <f aca="false">1/(1+Hipotesis!$C$25)^C41</f>
        <v>0.958213874637762</v>
      </c>
      <c r="D42" s="106" t="n">
        <f aca="false">1/(1+Hipotesis!$C$25)^D41</f>
        <v>0.879806902802481</v>
      </c>
      <c r="E42" s="106" t="n">
        <f aca="false">1/(1+Hipotesis!$C$25)^E41</f>
        <v>0.807815673209195</v>
      </c>
      <c r="F42" s="106" t="n">
        <f aca="false">1/(1+Hipotesis!$C$25)^F41</f>
        <v>0.741715210239635</v>
      </c>
      <c r="G42" s="106" t="n">
        <f aca="false">1/(1+Hipotesis!$C$25)^G41</f>
        <v>0.681023495019958</v>
      </c>
      <c r="H42" s="82" t="s">
        <v>475</v>
      </c>
    </row>
    <row r="43" customFormat="false" ht="15" hidden="false" customHeight="true" outlineLevel="0" collapsed="false">
      <c r="B43" s="73" t="s">
        <v>476</v>
      </c>
      <c r="C43" s="81" t="n">
        <f aca="false">C36*C42</f>
        <v>3581.73487444681</v>
      </c>
      <c r="D43" s="81" t="n">
        <f aca="false">D36*D42</f>
        <v>4229.51313944405</v>
      </c>
      <c r="E43" s="81" t="n">
        <f aca="false">E36*E42</f>
        <v>4274.79533401501</v>
      </c>
      <c r="F43" s="81" t="n">
        <f aca="false">F36*F42</f>
        <v>3935.90519965853</v>
      </c>
      <c r="G43" s="81" t="n">
        <f aca="false">G36*G42</f>
        <v>3732.24827875115</v>
      </c>
      <c r="H43" s="82" t="s">
        <v>477</v>
      </c>
    </row>
    <row r="44" customFormat="false" ht="15" hidden="false" customHeight="true" outlineLevel="0" collapsed="false">
      <c r="B44" s="67" t="s">
        <v>478</v>
      </c>
      <c r="C44" s="100" t="n">
        <f aca="false">SUM(C43:G43)</f>
        <v>19754.1968263155</v>
      </c>
    </row>
    <row r="45" customFormat="false" ht="15" hidden="false" customHeight="true" outlineLevel="0" collapsed="false"/>
    <row r="46" customFormat="false" ht="15" hidden="false" customHeight="true" outlineLevel="0" collapsed="false">
      <c r="B46" s="72" t="s">
        <v>479</v>
      </c>
      <c r="C46" s="72"/>
      <c r="D46" s="72"/>
      <c r="E46" s="72"/>
      <c r="F46" s="72"/>
      <c r="G46" s="72"/>
      <c r="H46" s="72"/>
    </row>
    <row r="47" customFormat="false" ht="15" hidden="false" customHeight="true" outlineLevel="0" collapsed="false">
      <c r="B47" s="73" t="s">
        <v>480</v>
      </c>
      <c r="C47" s="81" t="n">
        <f aca="false">G36*(1+Hipotesis!$C$47)/(Hipotesis!$C$25-Hipotesis!$C$47)</f>
        <v>80875.1333962915</v>
      </c>
      <c r="D47" s="75" t="s">
        <v>481</v>
      </c>
      <c r="G47" s="81" t="n">
        <f aca="false">C47*G42</f>
        <v>55077.8660057478</v>
      </c>
      <c r="H47" s="75" t="s">
        <v>482</v>
      </c>
    </row>
    <row r="48" customFormat="false" ht="15" hidden="false" customHeight="true" outlineLevel="0" collapsed="false">
      <c r="B48" s="73" t="s">
        <v>483</v>
      </c>
      <c r="C48" s="81" t="n">
        <f aca="false">Hipotesis!$C$50*(G26+G31)</f>
        <v>66244.5391621086</v>
      </c>
      <c r="D48" s="105" t="s">
        <v>484</v>
      </c>
      <c r="G48" s="81" t="n">
        <f aca="false">C48*G42</f>
        <v>45114.0875861657</v>
      </c>
    </row>
    <row r="49" customFormat="false" ht="15" hidden="false" customHeight="true" outlineLevel="0" collapsed="false">
      <c r="B49" s="73" t="s">
        <v>485</v>
      </c>
      <c r="C49" s="81" t="n">
        <f aca="false">Hipotesis!$C$51*G26</f>
        <v>78215.0356091615</v>
      </c>
      <c r="D49" s="105" t="s">
        <v>484</v>
      </c>
      <c r="G49" s="81" t="n">
        <f aca="false">C49*G42</f>
        <v>53266.2769136616</v>
      </c>
    </row>
    <row r="50" customFormat="false" ht="15" hidden="false" customHeight="true" outlineLevel="0" collapsed="false">
      <c r="B50" s="73" t="s">
        <v>486</v>
      </c>
      <c r="C50" s="81" t="n">
        <f aca="false">(G36*(1+Hipotesis!$C$47)+G36*Hipotesis!$C$48*(G17-Hipotesis!$C$47))/(Hipotesis!$C$25-Hipotesis!$C$47)</f>
        <v>84175.7891634787</v>
      </c>
      <c r="D50" s="105" t="s">
        <v>487</v>
      </c>
      <c r="G50" s="81" t="n">
        <f aca="false">C50*G42</f>
        <v>57325.6901321754</v>
      </c>
    </row>
    <row r="51" customFormat="false" ht="15" hidden="false" customHeight="true" outlineLevel="0" collapsed="false">
      <c r="B51" s="73" t="s">
        <v>488</v>
      </c>
      <c r="C51" s="81" t="n">
        <f aca="false">Hipotesis!$C$52*G16</f>
        <v>32457.1176165375</v>
      </c>
      <c r="D51" s="105" t="s">
        <v>489</v>
      </c>
      <c r="G51" s="81" t="n">
        <f aca="false">C51*G42</f>
        <v>22104.0596774882</v>
      </c>
    </row>
    <row r="52" customFormat="false" ht="15" hidden="false" customHeight="true" outlineLevel="0" collapsed="false"/>
    <row r="53" customFormat="false" ht="15" hidden="false" customHeight="true" outlineLevel="0" collapsed="false">
      <c r="B53" s="72" t="s">
        <v>490</v>
      </c>
      <c r="C53" s="72"/>
      <c r="D53" s="72"/>
      <c r="E53" s="72"/>
      <c r="F53" s="72"/>
      <c r="G53" s="72"/>
      <c r="H53" s="72"/>
      <c r="I53" s="72"/>
      <c r="J53" s="72"/>
    </row>
    <row r="54" customFormat="false" ht="15" hidden="false" customHeight="true" outlineLevel="0" collapsed="false">
      <c r="B54" s="71" t="s">
        <v>491</v>
      </c>
      <c r="C54" s="71" t="s">
        <v>492</v>
      </c>
      <c r="D54" s="71" t="s">
        <v>493</v>
      </c>
      <c r="E54" s="71" t="s">
        <v>494</v>
      </c>
      <c r="F54" s="71" t="s">
        <v>495</v>
      </c>
      <c r="G54" s="71" t="s">
        <v>496</v>
      </c>
      <c r="H54" s="71" t="s">
        <v>497</v>
      </c>
      <c r="I54" s="71" t="s">
        <v>498</v>
      </c>
    </row>
    <row r="55" customFormat="false" ht="15" hidden="false" customHeight="true" outlineLevel="0" collapsed="false">
      <c r="B55" s="73" t="s">
        <v>112</v>
      </c>
      <c r="C55" s="81" t="n">
        <f aca="false">C44+G47</f>
        <v>74832.0628320633</v>
      </c>
      <c r="D55" s="81" t="n">
        <f aca="false">Hipotesis!$C$15</f>
        <v>1930</v>
      </c>
      <c r="E55" s="84" t="n">
        <f aca="false">-Hipotesis!$C$14</f>
        <v>-12200</v>
      </c>
      <c r="F55" s="81" t="n">
        <f aca="false">Hipotesis!$C$16</f>
        <v>715</v>
      </c>
      <c r="G55" s="100" t="n">
        <f aca="false">C55+D55+E55+F55</f>
        <v>65277.0628320633</v>
      </c>
      <c r="H55" s="107" t="n">
        <f aca="false">Hipotesis!$C$8</f>
        <v>1153</v>
      </c>
      <c r="I55" s="108" t="n">
        <f aca="false">G55/H55</f>
        <v>56.614972100662</v>
      </c>
      <c r="J55" s="108" t="n">
        <f aca="false">I55</f>
        <v>56.614972100662</v>
      </c>
    </row>
    <row r="56" customFormat="false" ht="15" hidden="false" customHeight="true" outlineLevel="0" collapsed="false">
      <c r="B56" s="73" t="s">
        <v>113</v>
      </c>
      <c r="C56" s="81" t="n">
        <f aca="false">G50</f>
        <v>57325.6901321754</v>
      </c>
      <c r="D56" s="81" t="n">
        <f aca="false">Hipotesis!$C$15</f>
        <v>1930</v>
      </c>
      <c r="E56" s="84" t="n">
        <f aca="false">-Hipotesis!$C$14</f>
        <v>-12200</v>
      </c>
      <c r="F56" s="81" t="n">
        <f aca="false">Hipotesis!$C$16</f>
        <v>715</v>
      </c>
      <c r="G56" s="100" t="n">
        <f aca="false">C56+D56+E56+F56</f>
        <v>47770.6901321754</v>
      </c>
      <c r="H56" s="107" t="n">
        <f aca="false">Hipotesis!$C$8</f>
        <v>1153</v>
      </c>
      <c r="I56" s="108" t="n">
        <f aca="false">G56/H56</f>
        <v>41.4316479897445</v>
      </c>
      <c r="J56" s="108" t="n">
        <f aca="false">I56</f>
        <v>41.4316479897445</v>
      </c>
    </row>
    <row r="57" customFormat="false" ht="15" hidden="false" customHeight="true" outlineLevel="0" collapsed="false">
      <c r="B57" s="73" t="s">
        <v>114</v>
      </c>
      <c r="C57" s="81" t="n">
        <f aca="false">C44+G48</f>
        <v>64868.2844124812</v>
      </c>
      <c r="D57" s="81" t="n">
        <f aca="false">Hipotesis!$C$15</f>
        <v>1930</v>
      </c>
      <c r="E57" s="84" t="n">
        <f aca="false">-Hipotesis!$C$14</f>
        <v>-12200</v>
      </c>
      <c r="F57" s="81" t="n">
        <f aca="false">Hipotesis!$C$16</f>
        <v>715</v>
      </c>
      <c r="G57" s="100" t="n">
        <f aca="false">C57+D57+E57+F57</f>
        <v>55313.2844124812</v>
      </c>
      <c r="H57" s="107" t="n">
        <f aca="false">Hipotesis!$C$8</f>
        <v>1153</v>
      </c>
      <c r="I57" s="108" t="n">
        <f aca="false">G57/H57</f>
        <v>47.9733602883619</v>
      </c>
      <c r="J57" s="108" t="n">
        <f aca="false">I57</f>
        <v>47.9733602883619</v>
      </c>
    </row>
    <row r="58" customFormat="false" ht="15" hidden="false" customHeight="true" outlineLevel="0" collapsed="false">
      <c r="B58" s="73" t="s">
        <v>115</v>
      </c>
      <c r="C58" s="81" t="n">
        <f aca="false">C44+G49</f>
        <v>73020.4737399772</v>
      </c>
      <c r="D58" s="81" t="n">
        <f aca="false">Hipotesis!$C$15</f>
        <v>1930</v>
      </c>
      <c r="E58" s="84" t="n">
        <f aca="false">-Hipotesis!$C$14</f>
        <v>-12200</v>
      </c>
      <c r="F58" s="81" t="n">
        <f aca="false">Hipotesis!$C$16</f>
        <v>715</v>
      </c>
      <c r="G58" s="100" t="n">
        <f aca="false">C58+D58+E58+F58</f>
        <v>63465.4737399772</v>
      </c>
      <c r="H58" s="107" t="n">
        <f aca="false">Hipotesis!$C$8</f>
        <v>1153</v>
      </c>
      <c r="I58" s="108" t="n">
        <f aca="false">G58/H58</f>
        <v>55.0437760103878</v>
      </c>
      <c r="J58" s="108" t="n">
        <f aca="false">I58</f>
        <v>55.0437760103878</v>
      </c>
    </row>
    <row r="59" customFormat="false" ht="15" hidden="false" customHeight="true" outlineLevel="0" collapsed="false">
      <c r="B59" s="73" t="s">
        <v>116</v>
      </c>
      <c r="C59" s="81" t="n">
        <f aca="false">C44+G51</f>
        <v>41858.2565038038</v>
      </c>
      <c r="D59" s="81" t="n">
        <f aca="false">Hipotesis!$C$15</f>
        <v>1930</v>
      </c>
      <c r="E59" s="84" t="n">
        <f aca="false">-Hipotesis!$C$14</f>
        <v>-12200</v>
      </c>
      <c r="F59" s="81" t="n">
        <f aca="false">Hipotesis!$C$16</f>
        <v>715</v>
      </c>
      <c r="G59" s="100" t="n">
        <f aca="false">C59+D59+E59+F59</f>
        <v>32303.2565038038</v>
      </c>
      <c r="H59" s="107" t="n">
        <f aca="false">Hipotesis!$C$8</f>
        <v>1153</v>
      </c>
      <c r="I59" s="108" t="n">
        <f aca="false">G59/H59</f>
        <v>28.0167012175228</v>
      </c>
      <c r="J59" s="108" t="n">
        <f aca="false">I59</f>
        <v>28.0167012175228</v>
      </c>
    </row>
    <row r="60" customFormat="false" ht="15" hidden="false" customHeight="true" outlineLevel="0" collapsed="false">
      <c r="B60" s="73" t="s">
        <v>117</v>
      </c>
      <c r="C60" s="105" t="s">
        <v>475</v>
      </c>
      <c r="D60" s="105" t="s">
        <v>475</v>
      </c>
      <c r="E60" s="105" t="s">
        <v>475</v>
      </c>
      <c r="F60" s="105" t="s">
        <v>475</v>
      </c>
      <c r="G60" s="81" t="n">
        <f aca="false">Hipotesis!$C$53*D30</f>
        <v>72751.3839936</v>
      </c>
      <c r="H60" s="107" t="n">
        <f aca="false">Hipotesis!$C$8</f>
        <v>1153</v>
      </c>
      <c r="I60" s="108" t="n">
        <f aca="false">G60/H60</f>
        <v>63.0974709398092</v>
      </c>
      <c r="J60" s="108" t="n">
        <f aca="false">I60</f>
        <v>63.0974709398092</v>
      </c>
    </row>
    <row r="61" customFormat="false" ht="15" hidden="false" customHeight="true" outlineLevel="0" collapsed="false">
      <c r="B61" s="73" t="s">
        <v>118</v>
      </c>
      <c r="C61" s="81" t="n">
        <f aca="false">Hipotesis!$C$50*(D26+D31)</f>
        <v>60283.49756</v>
      </c>
      <c r="D61" s="81" t="n">
        <f aca="false">Hipotesis!$C$15</f>
        <v>1930</v>
      </c>
      <c r="E61" s="84" t="n">
        <f aca="false">-Hipotesis!$C$14</f>
        <v>-12200</v>
      </c>
      <c r="F61" s="81" t="n">
        <f aca="false">Hipotesis!$C$16</f>
        <v>715</v>
      </c>
      <c r="G61" s="100" t="n">
        <f aca="false">C61+D61+E61+F61</f>
        <v>50728.49756</v>
      </c>
      <c r="H61" s="107" t="n">
        <f aca="false">Hipotesis!$C$8</f>
        <v>1153</v>
      </c>
      <c r="I61" s="108" t="n">
        <f aca="false">G61/H61</f>
        <v>43.9969623243712</v>
      </c>
      <c r="J61" s="108" t="n">
        <f aca="false">I61</f>
        <v>43.9969623243712</v>
      </c>
    </row>
    <row r="62" customFormat="false" ht="15" hidden="false" customHeight="true" outlineLevel="0" collapsed="false">
      <c r="B62" s="73" t="s">
        <v>119</v>
      </c>
      <c r="C62" s="81" t="n">
        <f aca="false">Hipotesis!$C$52*D16</f>
        <v>29887.989</v>
      </c>
      <c r="D62" s="81" t="n">
        <f aca="false">Hipotesis!$C$15</f>
        <v>1930</v>
      </c>
      <c r="E62" s="84" t="n">
        <f aca="false">-Hipotesis!$C$14</f>
        <v>-12200</v>
      </c>
      <c r="F62" s="81" t="n">
        <f aca="false">Hipotesis!$C$16</f>
        <v>715</v>
      </c>
      <c r="G62" s="100" t="n">
        <f aca="false">C62+D62+E62+F62</f>
        <v>20332.989</v>
      </c>
      <c r="H62" s="107" t="n">
        <f aca="false">Hipotesis!$C$8</f>
        <v>1153</v>
      </c>
      <c r="I62" s="108" t="n">
        <f aca="false">G62/H62</f>
        <v>17.6348560277537</v>
      </c>
      <c r="J62" s="108" t="n">
        <f aca="false">I62</f>
        <v>17.6348560277537</v>
      </c>
    </row>
    <row r="63" customFormat="false" ht="15" hidden="false" customHeight="true" outlineLevel="0" collapsed="false"/>
    <row r="64" customFormat="false" ht="15" hidden="false" customHeight="true" outlineLevel="0" collapsed="false">
      <c r="B64" s="72" t="s">
        <v>499</v>
      </c>
      <c r="C64" s="72"/>
      <c r="D64" s="72"/>
      <c r="E64" s="72"/>
      <c r="F64" s="72"/>
      <c r="G64" s="72"/>
      <c r="H64" s="72"/>
      <c r="I64" s="72"/>
      <c r="J64" s="72"/>
    </row>
    <row r="65" customFormat="false" ht="15" hidden="false" customHeight="true" outlineLevel="0" collapsed="false">
      <c r="B65" s="67" t="s">
        <v>500</v>
      </c>
      <c r="J65" s="109" t="n">
        <f aca="false">AVERAGE(J55:J62)</f>
        <v>44.2262183623266</v>
      </c>
    </row>
    <row r="66" customFormat="false" ht="15" hidden="false" customHeight="true" outlineLevel="0" collapsed="false">
      <c r="B66" s="67" t="s">
        <v>501</v>
      </c>
      <c r="J66" s="110" t="n">
        <f aca="false">MEDIAN(J55:J62)</f>
        <v>45.9851613063665</v>
      </c>
    </row>
    <row r="67" customFormat="false" ht="15" hidden="false" customHeight="true" outlineLevel="0" collapsed="false">
      <c r="B67" s="67" t="s">
        <v>502</v>
      </c>
      <c r="J67" s="109" t="n">
        <f aca="false">MIN(J55:J62)</f>
        <v>17.6348560277537</v>
      </c>
    </row>
    <row r="68" customFormat="false" ht="15" hidden="false" customHeight="true" outlineLevel="0" collapsed="false">
      <c r="B68" s="67" t="s">
        <v>503</v>
      </c>
      <c r="J68" s="109" t="n">
        <f aca="false">MAX(J55:J62)</f>
        <v>63.0974709398092</v>
      </c>
    </row>
    <row r="69" customFormat="false" ht="15" hidden="false" customHeight="true" outlineLevel="0" collapsed="false">
      <c r="B69" s="67" t="s">
        <v>504</v>
      </c>
      <c r="J69" s="109" t="n">
        <f aca="false">Hipotesis!$C$6</f>
        <v>49.49</v>
      </c>
    </row>
    <row r="70" customFormat="false" ht="15" hidden="false" customHeight="true" outlineLevel="0" collapsed="false">
      <c r="B70" s="67" t="s">
        <v>505</v>
      </c>
      <c r="J70" s="111" t="n">
        <f aca="false">J66/J69-1</f>
        <v>-0.0708191289883505</v>
      </c>
    </row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>
      <c r="B73" s="1" t="s">
        <v>506</v>
      </c>
    </row>
    <row r="74" customFormat="false" ht="15" hidden="false" customHeight="true" outlineLevel="0" collapsed="false">
      <c r="B74" s="1" t="s">
        <v>196</v>
      </c>
      <c r="C74" s="1" t="s">
        <v>177</v>
      </c>
      <c r="D74" s="1" t="s">
        <v>178</v>
      </c>
      <c r="E74" s="1" t="s">
        <v>179</v>
      </c>
      <c r="F74" s="1" t="s">
        <v>180</v>
      </c>
      <c r="G74" s="1" t="s">
        <v>181</v>
      </c>
      <c r="H74" s="1" t="s">
        <v>182</v>
      </c>
    </row>
    <row r="75" customFormat="false" ht="15" hidden="false" customHeight="true" outlineLevel="0" collapsed="false">
      <c r="B75" s="1" t="s">
        <v>507</v>
      </c>
      <c r="C75" s="1" t="n">
        <f aca="false">-C33</f>
        <v>4393.4625</v>
      </c>
      <c r="D75" s="1" t="n">
        <f aca="false">-D33</f>
        <v>4383.57172</v>
      </c>
      <c r="E75" s="1" t="n">
        <f aca="false">-E33</f>
        <v>4437.933403725</v>
      </c>
      <c r="F75" s="1" t="n">
        <f aca="false">-F33</f>
        <v>4524.0407040975</v>
      </c>
      <c r="G75" s="1" t="n">
        <f aca="false">-G33</f>
        <v>4652.18685837037</v>
      </c>
      <c r="H75" s="1" t="n">
        <f aca="false">-H33</f>
        <v>4760.3772504255</v>
      </c>
    </row>
    <row r="76" customFormat="false" ht="15" hidden="false" customHeight="true" outlineLevel="0" collapsed="false">
      <c r="B76" s="1" t="s">
        <v>508</v>
      </c>
      <c r="C76" s="1" t="n">
        <f aca="false">C75*Hipotesis!C73</f>
        <v>3734.443125</v>
      </c>
      <c r="D76" s="1" t="n">
        <f aca="false">D75*Hipotesis!D73</f>
        <v>3594.5288104</v>
      </c>
      <c r="E76" s="1" t="n">
        <f aca="false">E75*Hipotesis!E73</f>
        <v>3772.24339316625</v>
      </c>
      <c r="F76" s="1" t="n">
        <f aca="false">F75*Hipotesis!F73</f>
        <v>3981.1558196058</v>
      </c>
      <c r="G76" s="1" t="n">
        <f aca="false">G75*Hipotesis!G73</f>
        <v>4186.96817253334</v>
      </c>
      <c r="H76" s="1" t="n">
        <f aca="false">H75*Hipotesis!H73</f>
        <v>4522.35838790422</v>
      </c>
    </row>
    <row r="77" customFormat="false" ht="15" hidden="false" customHeight="true" outlineLevel="0" collapsed="false">
      <c r="B77" s="1" t="s">
        <v>509</v>
      </c>
      <c r="C77" s="1" t="n">
        <f aca="false">C75*Hipotesis!C74</f>
        <v>659.019375</v>
      </c>
      <c r="D77" s="1" t="n">
        <f aca="false">D75*Hipotesis!D74</f>
        <v>789.0429096</v>
      </c>
      <c r="E77" s="1" t="n">
        <f aca="false">E75*Hipotesis!E74</f>
        <v>665.69001055875</v>
      </c>
      <c r="F77" s="1" t="n">
        <f aca="false">F75*Hipotesis!F74</f>
        <v>542.8848844917</v>
      </c>
      <c r="G77" s="1" t="n">
        <f aca="false">G75*Hipotesis!G74</f>
        <v>465.218685837037</v>
      </c>
      <c r="H77" s="1" t="n">
        <f aca="false">H75*Hipotesis!H74</f>
        <v>238.018862521275</v>
      </c>
    </row>
    <row r="78" customFormat="false" ht="15" hidden="false" customHeight="true" outlineLevel="0" collapsed="false">
      <c r="B78" s="1" t="s">
        <v>510</v>
      </c>
      <c r="C78" s="1" t="n">
        <f aca="false">C76/C18</f>
        <v>6.34596733081269</v>
      </c>
      <c r="D78" s="1" t="n">
        <f aca="false">D76/D18</f>
        <v>5.89310491823167</v>
      </c>
      <c r="E78" s="1" t="n">
        <f aca="false">E76/E18</f>
        <v>6.01448326006219</v>
      </c>
      <c r="F78" s="1" t="n">
        <f aca="false">F76/F18</f>
        <v>6.20324308500138</v>
      </c>
      <c r="G78" s="1" t="n">
        <f aca="false">G76/G18</f>
        <v>6.40685998897616</v>
      </c>
      <c r="H78" s="1" t="n">
        <f aca="false">H76/H18</f>
        <v>6.92007099584505</v>
      </c>
      <c r="I78" s="1" t="s">
        <v>511</v>
      </c>
    </row>
    <row r="79" customFormat="false" ht="15" hidden="false" customHeight="true" outlineLevel="0" collapsed="false">
      <c r="B79" s="1" t="s">
        <v>512</v>
      </c>
      <c r="C79" s="1" t="n">
        <f aca="false">C18/Historico!G86-1</f>
        <v>0.91581660336408</v>
      </c>
      <c r="D79" s="1" t="n">
        <f aca="false">D18/C18-1</f>
        <v>0.0365011257912402</v>
      </c>
      <c r="E79" s="1" t="n">
        <f aca="false">E18/D18-1</f>
        <v>0.028261535687059</v>
      </c>
      <c r="F79" s="1" t="n">
        <f aca="false">F18/E18-1</f>
        <v>0.0232670499100462</v>
      </c>
      <c r="G79" s="1" t="n">
        <f aca="false">G18/F18-1</f>
        <v>0.0182725828102175</v>
      </c>
      <c r="H79" s="1" t="n">
        <f aca="false">H18/G18-1</f>
        <v>0</v>
      </c>
      <c r="I79" s="1" t="s">
        <v>513</v>
      </c>
    </row>
  </sheetData>
  <mergeCells count="12">
    <mergeCell ref="B1:H1"/>
    <mergeCell ref="L5:R5"/>
    <mergeCell ref="B6:H6"/>
    <mergeCell ref="L15:R15"/>
    <mergeCell ref="B19:H19"/>
    <mergeCell ref="L24:R24"/>
    <mergeCell ref="B29:H29"/>
    <mergeCell ref="L33:R33"/>
    <mergeCell ref="B40:H40"/>
    <mergeCell ref="B46:H46"/>
    <mergeCell ref="B53:J53"/>
    <mergeCell ref="B64:J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8"/>
    <col collapsed="false" customWidth="true" hidden="false" outlineLevel="0" max="8" min="3" style="1" width="13"/>
    <col collapsed="false" customWidth="true" hidden="false" outlineLevel="0" max="9" min="9" style="1" width="60"/>
  </cols>
  <sheetData>
    <row r="2" customFormat="false" ht="24" hidden="false" customHeight="true" outlineLevel="0" collapsed="false">
      <c r="B2" s="66" t="s">
        <v>514</v>
      </c>
      <c r="C2" s="66"/>
      <c r="D2" s="66"/>
      <c r="E2" s="66"/>
      <c r="F2" s="66"/>
      <c r="G2" s="66"/>
      <c r="H2" s="66"/>
      <c r="I2" s="66"/>
    </row>
    <row r="3" customFormat="false" ht="15" hidden="false" customHeight="true" outlineLevel="0" collapsed="false">
      <c r="B3" s="112" t="s">
        <v>515</v>
      </c>
      <c r="C3" s="112"/>
      <c r="D3" s="112"/>
      <c r="E3" s="112"/>
      <c r="F3" s="112"/>
      <c r="G3" s="112"/>
      <c r="H3" s="112"/>
      <c r="I3" s="112"/>
    </row>
    <row r="5" customFormat="false" ht="15" hidden="false" customHeight="true" outlineLevel="0" collapsed="false">
      <c r="B5" s="72" t="s">
        <v>516</v>
      </c>
      <c r="C5" s="72"/>
      <c r="D5" s="72"/>
      <c r="E5" s="72"/>
      <c r="F5" s="72"/>
      <c r="G5" s="72"/>
      <c r="H5" s="72"/>
      <c r="I5" s="72"/>
    </row>
    <row r="6" customFormat="false" ht="15" hidden="false" customHeight="true" outlineLevel="0" collapsed="false">
      <c r="C6" s="71" t="s">
        <v>259</v>
      </c>
      <c r="D6" s="71" t="s">
        <v>260</v>
      </c>
      <c r="E6" s="71" t="s">
        <v>261</v>
      </c>
      <c r="F6" s="71" t="s">
        <v>262</v>
      </c>
      <c r="G6" s="71" t="s">
        <v>263</v>
      </c>
      <c r="H6" s="71" t="s">
        <v>264</v>
      </c>
    </row>
    <row r="7" customFormat="false" ht="15" hidden="false" customHeight="true" outlineLevel="0" collapsed="false">
      <c r="B7" s="73" t="s">
        <v>87</v>
      </c>
      <c r="C7" s="74" t="n">
        <v>12206</v>
      </c>
      <c r="D7" s="74" t="n">
        <v>19169</v>
      </c>
      <c r="E7" s="74" t="n">
        <v>15258</v>
      </c>
      <c r="F7" s="74" t="n">
        <v>15938</v>
      </c>
      <c r="G7" s="74" t="n">
        <v>17188</v>
      </c>
      <c r="H7" s="74" t="n">
        <v>3807</v>
      </c>
      <c r="I7" s="75" t="s">
        <v>517</v>
      </c>
    </row>
    <row r="8" customFormat="false" ht="15" hidden="false" customHeight="true" outlineLevel="0" collapsed="false">
      <c r="B8" s="73" t="s">
        <v>518</v>
      </c>
      <c r="C8" s="74" t="n">
        <v>6628</v>
      </c>
      <c r="D8" s="74" t="n">
        <v>11555</v>
      </c>
      <c r="E8" s="74" t="n">
        <v>5896</v>
      </c>
      <c r="F8" s="74" t="n">
        <v>5309</v>
      </c>
      <c r="G8" s="74" t="n">
        <v>3834</v>
      </c>
      <c r="H8" s="74" t="n">
        <v>275</v>
      </c>
    </row>
    <row r="9" customFormat="false" ht="15" hidden="false" customHeight="true" outlineLevel="0" collapsed="false">
      <c r="B9" s="73" t="s">
        <v>519</v>
      </c>
      <c r="C9" s="74" t="n">
        <v>2813</v>
      </c>
      <c r="D9" s="74" t="n">
        <v>6015</v>
      </c>
      <c r="E9" s="74" t="n">
        <v>3747</v>
      </c>
      <c r="F9" s="74" t="n">
        <v>2891</v>
      </c>
      <c r="G9" s="74" t="n">
        <v>2642</v>
      </c>
      <c r="H9" s="74" t="n">
        <v>120</v>
      </c>
    </row>
    <row r="10" customFormat="false" ht="15" hidden="false" customHeight="true" outlineLevel="0" collapsed="false">
      <c r="B10" s="73" t="s">
        <v>520</v>
      </c>
      <c r="C10" s="74" t="n">
        <v>21025</v>
      </c>
      <c r="D10" s="74" t="n">
        <v>23721</v>
      </c>
      <c r="E10" s="74" t="n">
        <v>23943</v>
      </c>
      <c r="F10" s="74" t="n">
        <v>30904</v>
      </c>
      <c r="G10" s="74" t="n">
        <v>31599</v>
      </c>
      <c r="H10" s="74" t="n">
        <v>32543</v>
      </c>
      <c r="I10" s="75" t="s">
        <v>521</v>
      </c>
    </row>
    <row r="11" customFormat="false" ht="15" hidden="false" customHeight="true" outlineLevel="0" collapsed="false">
      <c r="B11" s="73" t="s">
        <v>522</v>
      </c>
      <c r="C11" s="74" t="n">
        <v>7188</v>
      </c>
      <c r="D11" s="74" t="n">
        <v>8662</v>
      </c>
      <c r="E11" s="74" t="n">
        <v>9214</v>
      </c>
      <c r="F11" s="74" t="n">
        <v>13988</v>
      </c>
      <c r="G11" s="74" t="n">
        <v>15528</v>
      </c>
      <c r="H11" s="74" t="n">
        <v>15428</v>
      </c>
    </row>
    <row r="12" customFormat="false" ht="15" hidden="false" customHeight="true" outlineLevel="0" collapsed="false">
      <c r="B12" s="73" t="s">
        <v>523</v>
      </c>
      <c r="C12" s="74" t="n">
        <v>6531</v>
      </c>
      <c r="D12" s="74" t="n">
        <v>6452</v>
      </c>
      <c r="E12" s="74" t="n">
        <v>6149</v>
      </c>
      <c r="F12" s="74" t="n">
        <v>8880</v>
      </c>
      <c r="G12" s="74" t="n">
        <v>8389</v>
      </c>
      <c r="H12" s="74" t="n">
        <v>8386</v>
      </c>
    </row>
    <row r="13" customFormat="false" ht="15" hidden="false" customHeight="true" outlineLevel="0" collapsed="false">
      <c r="B13" s="73" t="s">
        <v>524</v>
      </c>
      <c r="C13" s="74" t="n">
        <v>2268</v>
      </c>
      <c r="D13" s="74" t="n">
        <v>1454</v>
      </c>
      <c r="E13" s="74" t="n">
        <v>875</v>
      </c>
      <c r="F13" s="74" t="n">
        <v>846</v>
      </c>
      <c r="G13" s="74" t="n">
        <v>1434</v>
      </c>
      <c r="H13" s="74" t="n">
        <v>1815</v>
      </c>
    </row>
    <row r="14" customFormat="false" ht="15" hidden="false" customHeight="true" outlineLevel="0" collapsed="false">
      <c r="B14" s="73" t="s">
        <v>525</v>
      </c>
      <c r="C14" s="74" t="n">
        <v>4899</v>
      </c>
      <c r="D14" s="74" t="n">
        <v>8538</v>
      </c>
      <c r="E14" s="74" t="n">
        <v>6498</v>
      </c>
      <c r="F14" s="74" t="n">
        <v>6906</v>
      </c>
      <c r="G14" s="74" t="n">
        <v>6711</v>
      </c>
      <c r="H14" s="74" t="n">
        <v>1655</v>
      </c>
      <c r="I14" s="75" t="s">
        <v>526</v>
      </c>
    </row>
    <row r="15" customFormat="false" ht="15" hidden="false" customHeight="true" outlineLevel="0" collapsed="false">
      <c r="B15" s="73" t="s">
        <v>527</v>
      </c>
      <c r="C15" s="74" t="n">
        <v>1971</v>
      </c>
      <c r="D15" s="74" t="n">
        <v>2517</v>
      </c>
      <c r="E15" s="74" t="n">
        <v>3766</v>
      </c>
      <c r="F15" s="74" t="n">
        <v>3713</v>
      </c>
      <c r="G15" s="74" t="n">
        <v>3713</v>
      </c>
      <c r="H15" s="74" t="n">
        <v>848</v>
      </c>
    </row>
    <row r="16" customFormat="false" ht="15" hidden="false" customHeight="true" outlineLevel="0" collapsed="false">
      <c r="B16" s="73" t="s">
        <v>528</v>
      </c>
      <c r="C16" s="74" t="n">
        <v>2928</v>
      </c>
      <c r="D16" s="74" t="n">
        <v>6021</v>
      </c>
      <c r="E16" s="74" t="n">
        <v>2732</v>
      </c>
      <c r="F16" s="74" t="n">
        <v>3193</v>
      </c>
      <c r="G16" s="74" t="n">
        <v>2998</v>
      </c>
      <c r="H16" s="74" t="n">
        <v>807</v>
      </c>
    </row>
    <row r="17" customFormat="false" ht="15" hidden="false" customHeight="true" outlineLevel="0" collapsed="false">
      <c r="B17" s="73" t="s">
        <v>529</v>
      </c>
      <c r="C17" s="74" t="n">
        <v>1763</v>
      </c>
      <c r="D17" s="74" t="n">
        <v>2230</v>
      </c>
      <c r="E17" s="74" t="n">
        <v>2585</v>
      </c>
      <c r="F17" s="74" t="n">
        <v>2810</v>
      </c>
      <c r="G17" s="74" t="n">
        <v>3595</v>
      </c>
      <c r="H17" s="74" t="n">
        <v>904</v>
      </c>
    </row>
    <row r="18" customFormat="false" ht="15" hidden="false" customHeight="true" outlineLevel="0" collapsed="false">
      <c r="B18" s="73" t="s">
        <v>530</v>
      </c>
      <c r="C18" s="113" t="n">
        <v>0.0921</v>
      </c>
      <c r="D18" s="113" t="n">
        <v>0.1203</v>
      </c>
      <c r="E18" s="113" t="n">
        <v>0.1532</v>
      </c>
      <c r="F18" s="113" t="n">
        <v>0.1253</v>
      </c>
      <c r="G18" s="113" t="n">
        <v>0.2337</v>
      </c>
      <c r="H18" s="113" t="n">
        <v>0.2771</v>
      </c>
      <c r="I18" s="75" t="s">
        <v>531</v>
      </c>
    </row>
    <row r="20" customFormat="false" ht="15" hidden="false" customHeight="true" outlineLevel="0" collapsed="false">
      <c r="B20" s="72" t="s">
        <v>532</v>
      </c>
      <c r="C20" s="72"/>
      <c r="D20" s="72"/>
      <c r="E20" s="72"/>
      <c r="F20" s="72"/>
      <c r="G20" s="72"/>
      <c r="H20" s="72"/>
      <c r="I20" s="72"/>
    </row>
    <row r="21" customFormat="false" ht="15" hidden="false" customHeight="true" outlineLevel="0" collapsed="false">
      <c r="C21" s="71" t="s">
        <v>259</v>
      </c>
      <c r="D21" s="71" t="s">
        <v>260</v>
      </c>
      <c r="E21" s="71" t="s">
        <v>261</v>
      </c>
      <c r="F21" s="71" t="s">
        <v>262</v>
      </c>
      <c r="G21" s="71" t="s">
        <v>263</v>
      </c>
      <c r="H21" s="71" t="s">
        <v>264</v>
      </c>
    </row>
    <row r="22" customFormat="false" ht="15" hidden="false" customHeight="true" outlineLevel="0" collapsed="false">
      <c r="B22" s="67" t="s">
        <v>533</v>
      </c>
      <c r="C22" s="114" t="n">
        <f aca="false">1-C18</f>
        <v>0.9079</v>
      </c>
      <c r="D22" s="114" t="n">
        <f aca="false">1-D18</f>
        <v>0.8797</v>
      </c>
      <c r="E22" s="114" t="n">
        <f aca="false">1-E18</f>
        <v>0.8468</v>
      </c>
      <c r="F22" s="114" t="n">
        <f aca="false">1-F18</f>
        <v>0.8747</v>
      </c>
      <c r="G22" s="114" t="n">
        <f aca="false">1-G18</f>
        <v>0.7663</v>
      </c>
      <c r="H22" s="114" t="n">
        <f aca="false">1-H18</f>
        <v>0.7229</v>
      </c>
      <c r="I22" s="75" t="s">
        <v>534</v>
      </c>
    </row>
    <row r="23" customFormat="false" ht="15" hidden="false" customHeight="true" outlineLevel="0" collapsed="false">
      <c r="B23" s="67" t="s">
        <v>535</v>
      </c>
      <c r="C23" s="114" t="n">
        <f aca="false">(C9/(1-C18))/C8</f>
        <v>0.467465125240438</v>
      </c>
      <c r="D23" s="114" t="n">
        <f aca="false">(D9/(1-D18))/D8</f>
        <v>0.591740221419058</v>
      </c>
      <c r="E23" s="114" t="n">
        <f aca="false">(E9/(1-E18))/E8</f>
        <v>0.75049079333867</v>
      </c>
      <c r="F23" s="114" t="n">
        <f aca="false">(F9/(1-F18))/F8</f>
        <v>0.622552870318662</v>
      </c>
      <c r="G23" s="114" t="n">
        <f aca="false">(G9/(1-G18))/G8</f>
        <v>0.899252966530703</v>
      </c>
      <c r="H23" s="114" t="n">
        <f aca="false">(H9/(1-H18))/H8</f>
        <v>0.603629321294282</v>
      </c>
      <c r="I23" s="75" t="s">
        <v>536</v>
      </c>
    </row>
    <row r="24" customFormat="false" ht="15" hidden="false" customHeight="true" outlineLevel="0" collapsed="false">
      <c r="B24" s="67" t="s">
        <v>537</v>
      </c>
      <c r="C24" s="114" t="n">
        <f aca="false">C8/C7</f>
        <v>0.543011633622809</v>
      </c>
      <c r="D24" s="114" t="n">
        <f aca="false">D8/D7</f>
        <v>0.602796181334446</v>
      </c>
      <c r="E24" s="114" t="n">
        <f aca="false">E8/E7</f>
        <v>0.386420238563377</v>
      </c>
      <c r="F24" s="114" t="n">
        <f aca="false">F8/F7</f>
        <v>0.333103275191367</v>
      </c>
      <c r="G24" s="114" t="n">
        <f aca="false">G8/G7</f>
        <v>0.22306260181522</v>
      </c>
      <c r="H24" s="114" t="n">
        <f aca="false">H8/H7</f>
        <v>0.0722353559232992</v>
      </c>
      <c r="I24" s="75" t="s">
        <v>538</v>
      </c>
    </row>
    <row r="25" customFormat="false" ht="15" hidden="false" customHeight="true" outlineLevel="0" collapsed="false">
      <c r="B25" s="67" t="s">
        <v>539</v>
      </c>
      <c r="C25" s="115" t="n">
        <f aca="false">C7/C10</f>
        <v>0.580546967895363</v>
      </c>
      <c r="D25" s="115" t="n">
        <f aca="false">D7/D10</f>
        <v>0.808102525188651</v>
      </c>
      <c r="E25" s="115" t="n">
        <f aca="false">E7/E10</f>
        <v>0.637263500814434</v>
      </c>
      <c r="F25" s="115" t="n">
        <f aca="false">F7/F10</f>
        <v>0.515726119596169</v>
      </c>
      <c r="G25" s="115" t="n">
        <f aca="false">G7/G10</f>
        <v>0.54394126396405</v>
      </c>
      <c r="H25" s="115" t="n">
        <f aca="false">H7/H10</f>
        <v>0.11698368312694</v>
      </c>
      <c r="I25" s="75" t="s">
        <v>540</v>
      </c>
    </row>
    <row r="26" customFormat="false" ht="15" hidden="false" customHeight="true" outlineLevel="0" collapsed="false">
      <c r="B26" s="67" t="s">
        <v>541</v>
      </c>
      <c r="C26" s="115" t="n">
        <f aca="false">C10/C11</f>
        <v>2.92501391207568</v>
      </c>
      <c r="D26" s="115" t="n">
        <f aca="false">D10/D11</f>
        <v>2.73851304548603</v>
      </c>
      <c r="E26" s="115" t="n">
        <f aca="false">E10/E11</f>
        <v>2.59854569133927</v>
      </c>
      <c r="F26" s="115" t="n">
        <f aca="false">F10/F11</f>
        <v>2.20932227623677</v>
      </c>
      <c r="G26" s="115" t="n">
        <f aca="false">G10/G11</f>
        <v>2.03496908809892</v>
      </c>
      <c r="H26" s="115" t="n">
        <f aca="false">H10/H11</f>
        <v>2.10934664246824</v>
      </c>
      <c r="I26" s="75" t="s">
        <v>542</v>
      </c>
    </row>
    <row r="28" customFormat="false" ht="15" hidden="false" customHeight="true" outlineLevel="0" collapsed="false">
      <c r="B28" s="116" t="s">
        <v>543</v>
      </c>
      <c r="C28" s="117" t="n">
        <f aca="false">C22*C23*C24*C25*C26</f>
        <v>0.391346688925988</v>
      </c>
      <c r="D28" s="117" t="n">
        <f aca="false">D22*D23*D24*D25*D26</f>
        <v>0.694412375894713</v>
      </c>
      <c r="E28" s="117" t="n">
        <f aca="false">E22*E23*E24*E25*E26</f>
        <v>0.406663772520078</v>
      </c>
      <c r="F28" s="117" t="n">
        <f aca="false">F22*F23*F24*F25*F26</f>
        <v>0.206677151844438</v>
      </c>
      <c r="G28" s="117" t="n">
        <f aca="false">G22*G23*G24*G25*G26</f>
        <v>0.170144255538382</v>
      </c>
      <c r="H28" s="117" t="n">
        <f aca="false">H22*H23*H24*H25*H26</f>
        <v>0.0077780658542909</v>
      </c>
      <c r="I28" s="75" t="s">
        <v>544</v>
      </c>
    </row>
    <row r="29" customFormat="false" ht="15" hidden="false" customHeight="true" outlineLevel="0" collapsed="false">
      <c r="B29" s="67" t="s">
        <v>545</v>
      </c>
      <c r="C29" s="114" t="n">
        <f aca="false">C9/C11</f>
        <v>0.391346688925988</v>
      </c>
      <c r="D29" s="114" t="n">
        <f aca="false">D9/D11</f>
        <v>0.694412375894713</v>
      </c>
      <c r="E29" s="114" t="n">
        <f aca="false">E9/E11</f>
        <v>0.406663772520078</v>
      </c>
      <c r="F29" s="114" t="n">
        <f aca="false">F9/F11</f>
        <v>0.206677151844438</v>
      </c>
      <c r="G29" s="114" t="n">
        <f aca="false">G9/G11</f>
        <v>0.170144255538382</v>
      </c>
      <c r="H29" s="114" t="n">
        <f aca="false">H9/H11*4</f>
        <v>0.0311122634171636</v>
      </c>
      <c r="I29" s="75" t="s">
        <v>546</v>
      </c>
    </row>
    <row r="31" customFormat="false" ht="15" hidden="false" customHeight="true" outlineLevel="0" collapsed="false">
      <c r="B31" s="72" t="s">
        <v>547</v>
      </c>
      <c r="C31" s="72"/>
      <c r="D31" s="72"/>
      <c r="E31" s="72"/>
      <c r="F31" s="72"/>
      <c r="G31" s="72"/>
      <c r="H31" s="72"/>
      <c r="I31" s="72"/>
    </row>
    <row r="32" customFormat="false" ht="15" hidden="false" customHeight="true" outlineLevel="0" collapsed="false">
      <c r="C32" s="71" t="s">
        <v>259</v>
      </c>
      <c r="D32" s="71" t="s">
        <v>260</v>
      </c>
      <c r="E32" s="71" t="s">
        <v>261</v>
      </c>
      <c r="F32" s="71" t="s">
        <v>262</v>
      </c>
      <c r="G32" s="71" t="s">
        <v>263</v>
      </c>
      <c r="H32" s="71" t="s">
        <v>264</v>
      </c>
    </row>
    <row r="33" customFormat="false" ht="15" hidden="false" customHeight="true" outlineLevel="0" collapsed="false">
      <c r="B33" s="67" t="s">
        <v>548</v>
      </c>
      <c r="C33" s="118" t="n">
        <f aca="false">C8*(1-C18)</f>
        <v>6017.5612</v>
      </c>
      <c r="D33" s="118" t="n">
        <f aca="false">D8*(1-D18)</f>
        <v>10164.9335</v>
      </c>
      <c r="E33" s="118" t="n">
        <f aca="false">E8*(1-E18)</f>
        <v>4992.7328</v>
      </c>
      <c r="F33" s="118" t="n">
        <f aca="false">F8*(1-F18)</f>
        <v>4643.7823</v>
      </c>
      <c r="G33" s="118" t="n">
        <f aca="false">G8*(1-G18)</f>
        <v>2937.9942</v>
      </c>
      <c r="H33" s="118" t="n">
        <f aca="false">H8*(1-H18)</f>
        <v>198.7975</v>
      </c>
      <c r="I33" s="75" t="s">
        <v>549</v>
      </c>
    </row>
    <row r="34" customFormat="false" ht="15" hidden="false" customHeight="true" outlineLevel="0" collapsed="false">
      <c r="B34" s="67" t="s">
        <v>550</v>
      </c>
      <c r="C34" s="118" t="n">
        <f aca="false">C11+C12-C13</f>
        <v>11451</v>
      </c>
      <c r="D34" s="118" t="n">
        <f aca="false">D11+D12-D13</f>
        <v>13660</v>
      </c>
      <c r="E34" s="118" t="n">
        <f aca="false">E11+E12-E13</f>
        <v>14488</v>
      </c>
      <c r="F34" s="118" t="n">
        <f aca="false">F11+F12-F13</f>
        <v>22022</v>
      </c>
      <c r="G34" s="118" t="n">
        <f aca="false">G11+G12-G13</f>
        <v>22483</v>
      </c>
      <c r="H34" s="118" t="n">
        <f aca="false">H11+H12-H13</f>
        <v>21999</v>
      </c>
      <c r="I34" s="75" t="s">
        <v>551</v>
      </c>
    </row>
    <row r="35" customFormat="false" ht="15" hidden="false" customHeight="true" outlineLevel="0" collapsed="false">
      <c r="B35" s="116" t="s">
        <v>552</v>
      </c>
      <c r="C35" s="117" t="n">
        <f aca="false">C33/C34</f>
        <v>0.525505300847088</v>
      </c>
      <c r="D35" s="117" t="n">
        <f aca="false">D33/D34</f>
        <v>0.744138616398243</v>
      </c>
      <c r="E35" s="117" t="n">
        <f aca="false">E33/E34</f>
        <v>0.344611595803424</v>
      </c>
      <c r="F35" s="117" t="n">
        <f aca="false">F33/F34</f>
        <v>0.210870143492871</v>
      </c>
      <c r="G35" s="117" t="n">
        <f aca="false">G33/G34</f>
        <v>0.130676253169061</v>
      </c>
      <c r="H35" s="117" t="n">
        <f aca="false">H33/H34</f>
        <v>0.00903666075730715</v>
      </c>
      <c r="I35" s="75" t="s">
        <v>553</v>
      </c>
    </row>
    <row r="37" customFormat="false" ht="15" hidden="false" customHeight="true" outlineLevel="0" collapsed="false">
      <c r="B37" s="67" t="s">
        <v>554</v>
      </c>
      <c r="C37" s="119" t="n">
        <f aca="false">C35-Hipotesis!$C$25</f>
        <v>0.436386914090257</v>
      </c>
      <c r="D37" s="119" t="n">
        <f aca="false">D35-Hipotesis!$C$25</f>
        <v>0.655020229641413</v>
      </c>
      <c r="E37" s="119" t="n">
        <f aca="false">E35-Hipotesis!$C$25</f>
        <v>0.255493209046593</v>
      </c>
      <c r="F37" s="119" t="n">
        <f aca="false">F35-Hipotesis!$C$25</f>
        <v>0.12175175673604</v>
      </c>
      <c r="G37" s="119" t="n">
        <f aca="false">G35-Hipotesis!$C$25</f>
        <v>0.0415578664122304</v>
      </c>
      <c r="H37" s="114" t="n">
        <f aca="false">H35-Hipotesis!$C$25</f>
        <v>-0.0800817259995235</v>
      </c>
      <c r="I37" s="75" t="s">
        <v>555</v>
      </c>
    </row>
    <row r="39" customFormat="false" ht="15" hidden="false" customHeight="true" outlineLevel="0" collapsed="false">
      <c r="B39" s="72" t="s">
        <v>556</v>
      </c>
      <c r="C39" s="72"/>
      <c r="D39" s="72"/>
      <c r="E39" s="72"/>
      <c r="F39" s="72"/>
      <c r="G39" s="72"/>
      <c r="H39" s="72"/>
      <c r="I39" s="72"/>
    </row>
    <row r="40" customFormat="false" ht="15" hidden="false" customHeight="true" outlineLevel="0" collapsed="false">
      <c r="C40" s="71" t="s">
        <v>259</v>
      </c>
      <c r="D40" s="71" t="s">
        <v>260</v>
      </c>
      <c r="E40" s="71" t="s">
        <v>261</v>
      </c>
      <c r="F40" s="71" t="s">
        <v>262</v>
      </c>
      <c r="G40" s="71" t="s">
        <v>263</v>
      </c>
      <c r="H40" s="71" t="s">
        <v>264</v>
      </c>
    </row>
    <row r="41" customFormat="false" ht="15" hidden="false" customHeight="true" outlineLevel="0" collapsed="false">
      <c r="B41" s="73" t="s">
        <v>557</v>
      </c>
      <c r="C41" s="74" t="n">
        <v>220</v>
      </c>
      <c r="D41" s="74" t="n">
        <v>232</v>
      </c>
      <c r="E41" s="74" t="n">
        <v>245</v>
      </c>
      <c r="F41" s="74" t="n">
        <v>269</v>
      </c>
      <c r="G41" s="74" t="n">
        <v>307</v>
      </c>
      <c r="H41" s="74" t="n">
        <v>76.6</v>
      </c>
      <c r="I41" s="75" t="s">
        <v>558</v>
      </c>
    </row>
    <row r="42" customFormat="false" ht="15" hidden="false" customHeight="true" outlineLevel="0" collapsed="false">
      <c r="B42" s="73" t="s">
        <v>559</v>
      </c>
      <c r="C42" s="74" t="n">
        <v>1604</v>
      </c>
      <c r="D42" s="74" t="n">
        <v>1844</v>
      </c>
      <c r="E42" s="74" t="n">
        <v>1814</v>
      </c>
      <c r="F42" s="74" t="n">
        <v>1953</v>
      </c>
      <c r="G42" s="74" t="n">
        <v>2428</v>
      </c>
      <c r="H42" s="74" t="s">
        <v>475</v>
      </c>
      <c r="I42" s="1" t="s">
        <v>560</v>
      </c>
    </row>
    <row r="43" customFormat="false" ht="15" hidden="false" customHeight="true" outlineLevel="0" collapsed="false">
      <c r="B43" s="73" t="s">
        <v>561</v>
      </c>
      <c r="C43" s="74" t="n">
        <f aca="false">C15/C41</f>
        <v>8.95909090909091</v>
      </c>
      <c r="D43" s="74" t="n">
        <f aca="false">D15/D41</f>
        <v>10.8491379310345</v>
      </c>
      <c r="E43" s="74" t="n">
        <f aca="false">E15/E41</f>
        <v>15.3714285714286</v>
      </c>
      <c r="F43" s="74" t="n">
        <f aca="false">F15/F41</f>
        <v>13.8029739776952</v>
      </c>
      <c r="G43" s="74" t="n">
        <f aca="false">G15/G41</f>
        <v>12.0944625407166</v>
      </c>
      <c r="H43" s="74" t="n">
        <f aca="false">H15/H41</f>
        <v>11.0704960835509</v>
      </c>
      <c r="I43" s="1" t="s">
        <v>562</v>
      </c>
    </row>
    <row r="44" customFormat="false" ht="15" hidden="false" customHeight="true" outlineLevel="0" collapsed="false">
      <c r="B44" s="73" t="s">
        <v>563</v>
      </c>
      <c r="C44" s="74" t="n">
        <v>6.69</v>
      </c>
      <c r="D44" s="74" t="n">
        <v>9.04</v>
      </c>
      <c r="E44" s="74" t="n">
        <v>10.11</v>
      </c>
      <c r="F44" s="74" t="n">
        <v>10.75</v>
      </c>
      <c r="G44" s="74" t="n">
        <v>11.62</v>
      </c>
      <c r="H44" s="74" t="s">
        <v>475</v>
      </c>
      <c r="I44" s="75" t="s">
        <v>564</v>
      </c>
    </row>
    <row r="45" customFormat="false" ht="15" hidden="false" customHeight="true" outlineLevel="0" collapsed="false">
      <c r="B45" s="1" t="s">
        <v>565</v>
      </c>
      <c r="C45" s="1" t="n">
        <f aca="false">(C7-C44*C41)/C41</f>
        <v>48.7918181818182</v>
      </c>
      <c r="D45" s="1" t="n">
        <f aca="false">(D7-D44*D41)/D41</f>
        <v>73.585</v>
      </c>
      <c r="E45" s="1" t="n">
        <f aca="false">(E7-E44*E41)/E41</f>
        <v>52.1675510204082</v>
      </c>
      <c r="F45" s="1" t="n">
        <f aca="false">(F7-F44*F41)/F41</f>
        <v>48.4990706319703</v>
      </c>
      <c r="G45" s="1" t="n">
        <f aca="false">(G7-G44*G41)/G41</f>
        <v>44.3669706840391</v>
      </c>
      <c r="H45" s="1" t="n">
        <v>27.78</v>
      </c>
      <c r="I45" s="1" t="s">
        <v>566</v>
      </c>
    </row>
    <row r="46" customFormat="false" ht="15" hidden="false" customHeight="true" outlineLevel="0" collapsed="false">
      <c r="B46" s="67" t="s">
        <v>567</v>
      </c>
      <c r="C46" s="120" t="n">
        <f aca="false">C45/C43</f>
        <v>5.44606798579401</v>
      </c>
      <c r="D46" s="120" t="n">
        <f aca="false">D45/D43</f>
        <v>6.78256654747716</v>
      </c>
      <c r="E46" s="120" t="n">
        <f aca="false">E45/E43</f>
        <v>3.39379978757302</v>
      </c>
      <c r="F46" s="120" t="n">
        <f aca="false">F45/F43</f>
        <v>3.51366819283598</v>
      </c>
      <c r="G46" s="120" t="n">
        <f aca="false">G45/G43</f>
        <v>3.66837058981955</v>
      </c>
      <c r="H46" s="120" t="n">
        <f aca="false">H45/H43</f>
        <v>2.50937264150943</v>
      </c>
      <c r="I46" s="75" t="s">
        <v>568</v>
      </c>
    </row>
    <row r="47" customFormat="false" ht="15" hidden="false" customHeight="true" outlineLevel="0" collapsed="false">
      <c r="B47" s="67" t="s">
        <v>569</v>
      </c>
      <c r="C47" s="120" t="s">
        <v>89</v>
      </c>
      <c r="D47" s="120" t="n">
        <f aca="false">D42/C42-1</f>
        <v>0.149625935162095</v>
      </c>
      <c r="E47" s="120" t="n">
        <f aca="false">E42/D42-1</f>
        <v>-0.0162689804772235</v>
      </c>
      <c r="F47" s="120" t="n">
        <f aca="false">F42/E42-1</f>
        <v>0.0766262403528115</v>
      </c>
      <c r="G47" s="120" t="n">
        <f aca="false">G42/F42-1</f>
        <v>0.243215565796211</v>
      </c>
      <c r="H47" s="120" t="s">
        <v>475</v>
      </c>
      <c r="I47" s="75" t="s">
        <v>570</v>
      </c>
    </row>
    <row r="48" customFormat="false" ht="15" hidden="false" customHeight="true" outlineLevel="0" collapsed="false">
      <c r="B48" s="67" t="s">
        <v>571</v>
      </c>
      <c r="C48" s="120" t="n">
        <f aca="false">C42/C41</f>
        <v>7.29090909090909</v>
      </c>
      <c r="D48" s="120" t="n">
        <f aca="false">D42/D41</f>
        <v>7.94827586206897</v>
      </c>
      <c r="E48" s="120" t="n">
        <f aca="false">E42/E41</f>
        <v>7.40408163265306</v>
      </c>
      <c r="F48" s="120" t="n">
        <f aca="false">F42/F41</f>
        <v>7.26022304832714</v>
      </c>
      <c r="G48" s="120" t="n">
        <f aca="false">G42/G41</f>
        <v>7.90879478827362</v>
      </c>
      <c r="H48" s="120" t="s">
        <v>475</v>
      </c>
      <c r="I48" s="75" t="s">
        <v>572</v>
      </c>
    </row>
    <row r="49" customFormat="false" ht="15" hidden="false" customHeight="true" outlineLevel="0" collapsed="false">
      <c r="B49" s="67" t="s">
        <v>573</v>
      </c>
      <c r="C49" s="120" t="n">
        <f aca="false">C8*(1-C18)/(C11+C12-C13)</f>
        <v>0.525505300847088</v>
      </c>
      <c r="D49" s="120" t="n">
        <f aca="false">D8*(1-D18)/(D11+D12-D13)</f>
        <v>0.744138616398243</v>
      </c>
      <c r="E49" s="120" t="n">
        <f aca="false">E8*(1-E18)/(E11+E12-E13)</f>
        <v>0.344611595803424</v>
      </c>
      <c r="F49" s="120" t="n">
        <f aca="false">F8*(1-F18)/(F11+F12-F13)</f>
        <v>0.210870143492871</v>
      </c>
      <c r="G49" s="120" t="n">
        <f aca="false">G8*(1-G18)/(G11+G12-G13)</f>
        <v>0.130676253169061</v>
      </c>
      <c r="H49" s="120" t="n">
        <f aca="false">H8*(1-H18)/(H11+H12-H13)*4</f>
        <v>0.0361466430292286</v>
      </c>
      <c r="I49" s="75" t="s">
        <v>574</v>
      </c>
    </row>
    <row r="50" customFormat="false" ht="15" hidden="false" customHeight="true" outlineLevel="0" collapsed="false">
      <c r="B50" s="1" t="s">
        <v>575</v>
      </c>
      <c r="C50" s="1" t="n">
        <f aca="false">C14/C7</f>
        <v>0.401359986891693</v>
      </c>
      <c r="D50" s="1" t="n">
        <f aca="false">D14/D7</f>
        <v>0.445406646147426</v>
      </c>
      <c r="E50" s="1" t="n">
        <f aca="false">E14/E7</f>
        <v>0.425874950845458</v>
      </c>
      <c r="F50" s="1" t="n">
        <f aca="false">F14/F7</f>
        <v>0.433304053206174</v>
      </c>
      <c r="G50" s="1" t="n">
        <f aca="false">G14/G7</f>
        <v>0.390446823365139</v>
      </c>
      <c r="H50" s="1" t="n">
        <f aca="false">H14/H7</f>
        <v>0.434725505647491</v>
      </c>
      <c r="I50" s="1" t="s">
        <v>576</v>
      </c>
    </row>
    <row r="51" customFormat="false" ht="15" hidden="false" customHeight="true" outlineLevel="0" collapsed="false">
      <c r="B51" s="73" t="s">
        <v>577</v>
      </c>
      <c r="C51" s="82" t="n">
        <f aca="false">C16/C7</f>
        <v>0.239882025233492</v>
      </c>
      <c r="D51" s="82" t="n">
        <f aca="false">D16/D7</f>
        <v>0.314100892065314</v>
      </c>
      <c r="E51" s="74" t="n">
        <f aca="false">E16/E7</f>
        <v>0.179053611220343</v>
      </c>
      <c r="F51" s="74" t="n">
        <f aca="false">F16/F7</f>
        <v>0.200338812899987</v>
      </c>
      <c r="G51" s="74" t="n">
        <f aca="false">G16/G7</f>
        <v>0.174424016755876</v>
      </c>
      <c r="H51" s="74" t="n">
        <f aca="false">H16/H7</f>
        <v>0.211977935382191</v>
      </c>
      <c r="I51" s="75" t="s">
        <v>578</v>
      </c>
    </row>
    <row r="52" customFormat="false" ht="15" hidden="false" customHeight="true" outlineLevel="0" collapsed="false">
      <c r="B52" s="67" t="s">
        <v>579</v>
      </c>
      <c r="C52" s="82" t="n">
        <f aca="false">(C12-C13)/(C8+C17)</f>
        <v>0.508044333214158</v>
      </c>
      <c r="D52" s="82" t="n">
        <f aca="false">(D12-D13)/(D8+D17)</f>
        <v>0.362568008705114</v>
      </c>
      <c r="E52" s="121" t="n">
        <f aca="false">(E12-E13)/(E8+E17)</f>
        <v>0.621860629642731</v>
      </c>
      <c r="F52" s="121" t="n">
        <f aca="false">(F12-F13)/(F8+F17)</f>
        <v>0.989530730385515</v>
      </c>
      <c r="G52" s="121" t="n">
        <f aca="false">(G12-G13)/(G8+G17)</f>
        <v>0.93619598869296</v>
      </c>
      <c r="H52" s="122" t="s">
        <v>475</v>
      </c>
      <c r="I52" s="75" t="s">
        <v>580</v>
      </c>
    </row>
    <row r="55" customFormat="false" ht="15" hidden="false" customHeight="true" outlineLevel="0" collapsed="false">
      <c r="B55" s="72" t="s">
        <v>581</v>
      </c>
      <c r="C55" s="72"/>
      <c r="D55" s="72"/>
      <c r="E55" s="72"/>
      <c r="F55" s="72"/>
      <c r="G55" s="72"/>
      <c r="H55" s="72"/>
      <c r="I55" s="72"/>
    </row>
    <row r="56" customFormat="false" ht="27.75" hidden="false" customHeight="true" outlineLevel="0" collapsed="false">
      <c r="B56" s="32" t="s">
        <v>582</v>
      </c>
      <c r="C56" s="32"/>
      <c r="D56" s="32"/>
      <c r="E56" s="32"/>
      <c r="F56" s="32"/>
      <c r="G56" s="32"/>
      <c r="H56" s="32"/>
      <c r="I56" s="32"/>
    </row>
    <row r="57" customFormat="false" ht="27.75" hidden="false" customHeight="true" outlineLevel="0" collapsed="false">
      <c r="B57" s="32" t="s">
        <v>583</v>
      </c>
      <c r="C57" s="32"/>
      <c r="D57" s="32"/>
      <c r="E57" s="32"/>
      <c r="F57" s="32"/>
      <c r="G57" s="32"/>
      <c r="H57" s="32"/>
      <c r="I57" s="32"/>
    </row>
    <row r="58" customFormat="false" ht="27.75" hidden="false" customHeight="true" outlineLevel="0" collapsed="false">
      <c r="B58" s="32" t="s">
        <v>584</v>
      </c>
      <c r="C58" s="32"/>
      <c r="D58" s="32"/>
      <c r="E58" s="32"/>
      <c r="F58" s="32"/>
      <c r="G58" s="32"/>
      <c r="H58" s="32"/>
      <c r="I58" s="32"/>
    </row>
    <row r="59" customFormat="false" ht="27.75" hidden="false" customHeight="true" outlineLevel="0" collapsed="false">
      <c r="B59" s="32" t="s">
        <v>585</v>
      </c>
      <c r="C59" s="32"/>
      <c r="D59" s="32"/>
      <c r="E59" s="32"/>
      <c r="F59" s="32"/>
      <c r="G59" s="32"/>
      <c r="H59" s="32"/>
      <c r="I59" s="32"/>
    </row>
    <row r="60" customFormat="false" ht="27.75" hidden="false" customHeight="true" outlineLevel="0" collapsed="false">
      <c r="B60" s="32" t="s">
        <v>586</v>
      </c>
      <c r="C60" s="32"/>
      <c r="D60" s="32"/>
      <c r="E60" s="32"/>
      <c r="F60" s="32"/>
      <c r="G60" s="32"/>
      <c r="H60" s="32"/>
      <c r="I60" s="32"/>
    </row>
    <row r="61" customFormat="false" ht="27.75" hidden="false" customHeight="true" outlineLevel="0" collapsed="false">
      <c r="B61" s="32" t="s">
        <v>587</v>
      </c>
      <c r="C61" s="32"/>
      <c r="D61" s="32"/>
      <c r="E61" s="32"/>
      <c r="F61" s="32"/>
      <c r="G61" s="32"/>
      <c r="H61" s="32"/>
      <c r="I61" s="32"/>
    </row>
    <row r="62" customFormat="false" ht="27.75" hidden="false" customHeight="true" outlineLevel="0" collapsed="false">
      <c r="B62" s="32" t="s">
        <v>588</v>
      </c>
      <c r="C62" s="32"/>
      <c r="D62" s="32"/>
      <c r="E62" s="32"/>
      <c r="F62" s="32"/>
      <c r="G62" s="32"/>
      <c r="H62" s="32"/>
      <c r="I62" s="32"/>
    </row>
    <row r="63" customFormat="false" ht="27.75" hidden="false" customHeight="true" outlineLevel="0" collapsed="false">
      <c r="B63" s="32" t="s">
        <v>589</v>
      </c>
      <c r="C63" s="32"/>
      <c r="D63" s="32"/>
      <c r="E63" s="32"/>
      <c r="F63" s="32"/>
      <c r="G63" s="32"/>
      <c r="H63" s="32"/>
      <c r="I63" s="32"/>
    </row>
    <row r="64" customFormat="false" ht="27.75" hidden="false" customHeight="true" outlineLevel="0" collapsed="false">
      <c r="B64" s="32" t="s">
        <v>590</v>
      </c>
      <c r="C64" s="32"/>
      <c r="D64" s="32"/>
      <c r="E64" s="32"/>
      <c r="F64" s="32"/>
      <c r="G64" s="32"/>
      <c r="H64" s="32"/>
      <c r="I64" s="32"/>
    </row>
    <row r="65" customFormat="false" ht="27.75" hidden="false" customHeight="true" outlineLevel="0" collapsed="false">
      <c r="B65" s="32" t="s">
        <v>591</v>
      </c>
      <c r="C65" s="32"/>
      <c r="D65" s="32"/>
      <c r="E65" s="32"/>
      <c r="F65" s="32"/>
      <c r="G65" s="32"/>
      <c r="H65" s="32"/>
      <c r="I65" s="32"/>
    </row>
  </sheetData>
  <mergeCells count="17">
    <mergeCell ref="B2:I2"/>
    <mergeCell ref="B3:I3"/>
    <mergeCell ref="B5:I5"/>
    <mergeCell ref="B20:I20"/>
    <mergeCell ref="B31:I31"/>
    <mergeCell ref="B39:I39"/>
    <mergeCell ref="B55:I55"/>
    <mergeCell ref="B56:I56"/>
    <mergeCell ref="B57:I57"/>
    <mergeCell ref="B58:I58"/>
    <mergeCell ref="B59:I59"/>
    <mergeCell ref="B60:I60"/>
    <mergeCell ref="B61:I61"/>
    <mergeCell ref="B62:I62"/>
    <mergeCell ref="B63:I63"/>
    <mergeCell ref="B64:I64"/>
    <mergeCell ref="B65:I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4"/>
    <col collapsed="false" customWidth="true" hidden="false" outlineLevel="0" max="6" min="3" style="1" width="16"/>
    <col collapsed="false" customWidth="true" hidden="false" outlineLevel="0" max="7" min="7" style="1" width="60"/>
  </cols>
  <sheetData>
    <row r="2" customFormat="false" ht="25.5" hidden="false" customHeight="true" outlineLevel="0" collapsed="false">
      <c r="B2" s="123" t="s">
        <v>592</v>
      </c>
      <c r="C2" s="123"/>
      <c r="D2" s="123"/>
      <c r="E2" s="123"/>
      <c r="F2" s="123"/>
      <c r="G2" s="123"/>
    </row>
    <row r="3" customFormat="false" ht="15" hidden="false" customHeight="true" outlineLevel="0" collapsed="false">
      <c r="B3" s="12" t="s">
        <v>593</v>
      </c>
      <c r="C3" s="12"/>
      <c r="D3" s="12"/>
      <c r="E3" s="12"/>
      <c r="F3" s="12"/>
      <c r="G3" s="12"/>
    </row>
    <row r="5" customFormat="false" ht="21.75" hidden="false" customHeight="true" outlineLevel="0" collapsed="false">
      <c r="B5" s="4" t="s">
        <v>594</v>
      </c>
      <c r="C5" s="4"/>
      <c r="D5" s="4"/>
      <c r="E5" s="4"/>
      <c r="F5" s="4"/>
      <c r="G5" s="4"/>
    </row>
    <row r="6" customFormat="false" ht="15" hidden="false" customHeight="true" outlineLevel="0" collapsed="false">
      <c r="B6" s="6" t="s">
        <v>595</v>
      </c>
      <c r="C6" s="23" t="n">
        <f aca="false">Hipotesis!$C$6</f>
        <v>49.49</v>
      </c>
    </row>
    <row r="7" customFormat="false" ht="15" hidden="false" customHeight="true" outlineLevel="0" collapsed="false">
      <c r="B7" s="6" t="s">
        <v>596</v>
      </c>
      <c r="C7" s="124" t="n">
        <f aca="false">Hipotesis!$C$8</f>
        <v>1153</v>
      </c>
    </row>
    <row r="8" customFormat="false" ht="15" hidden="false" customHeight="true" outlineLevel="0" collapsed="false">
      <c r="B8" s="6" t="s">
        <v>524</v>
      </c>
      <c r="C8" s="125" t="n">
        <f aca="false">Hipotesis!$C$15</f>
        <v>1930</v>
      </c>
    </row>
    <row r="9" customFormat="false" ht="15" hidden="false" customHeight="true" outlineLevel="0" collapsed="false">
      <c r="B9" s="6" t="s">
        <v>597</v>
      </c>
      <c r="C9" s="125" t="n">
        <f aca="false">Hipotesis!$C$16</f>
        <v>715</v>
      </c>
    </row>
    <row r="10" customFormat="false" ht="15" hidden="false" customHeight="true" outlineLevel="0" collapsed="false">
      <c r="B10" s="6" t="s">
        <v>598</v>
      </c>
      <c r="C10" s="125" t="n">
        <f aca="false">Hipotesis!$C$14</f>
        <v>12200</v>
      </c>
    </row>
    <row r="11" customFormat="false" ht="15" hidden="false" customHeight="true" outlineLevel="0" collapsed="false">
      <c r="B11" s="6" t="s">
        <v>599</v>
      </c>
      <c r="C11" s="126" t="n">
        <f aca="false">Hipotesis!$C$25</f>
        <v>0.0891183867568306</v>
      </c>
    </row>
    <row r="12" customFormat="false" ht="15" hidden="false" customHeight="true" outlineLevel="0" collapsed="false">
      <c r="B12" s="6" t="s">
        <v>600</v>
      </c>
      <c r="C12" s="127" t="n">
        <f aca="false">Hipotesis!$C$47</f>
        <v>0.02</v>
      </c>
    </row>
    <row r="13" customFormat="false" ht="15" hidden="false" customHeight="true" outlineLevel="0" collapsed="false">
      <c r="B13" s="6" t="s">
        <v>601</v>
      </c>
      <c r="C13" s="125" t="n">
        <f aca="false">Modelo!$C$44</f>
        <v>19754.1968263155</v>
      </c>
    </row>
    <row r="14" customFormat="false" ht="15" hidden="false" customHeight="true" outlineLevel="0" collapsed="false">
      <c r="B14" s="6" t="s">
        <v>602</v>
      </c>
      <c r="C14" s="125" t="n">
        <f aca="false">Modelo!$G$36</f>
        <v>5480.35171479916</v>
      </c>
    </row>
    <row r="15" customFormat="false" ht="15" hidden="false" customHeight="true" outlineLevel="0" collapsed="false">
      <c r="B15" s="6" t="s">
        <v>603</v>
      </c>
      <c r="C15" s="125" t="n">
        <f aca="false">Modelo!$G$26</f>
        <v>8690.55951212905</v>
      </c>
    </row>
    <row r="16" customFormat="false" ht="15" hidden="false" customHeight="true" outlineLevel="0" collapsed="false">
      <c r="B16" s="6" t="s">
        <v>604</v>
      </c>
      <c r="C16" s="125" t="n">
        <f aca="false">Modelo!$G$31</f>
        <v>3353.90215370887</v>
      </c>
    </row>
    <row r="17" customFormat="false" ht="15" hidden="false" customHeight="true" outlineLevel="0" collapsed="false">
      <c r="B17" s="6" t="s">
        <v>605</v>
      </c>
      <c r="C17" s="125" t="n">
        <f aca="false">Modelo!$G$16</f>
        <v>21638.078411025</v>
      </c>
    </row>
    <row r="18" customFormat="false" ht="15" hidden="false" customHeight="true" outlineLevel="0" collapsed="false">
      <c r="B18" s="6" t="s">
        <v>606</v>
      </c>
      <c r="C18" s="125" t="n">
        <f aca="false">Modelo!$G$30</f>
        <v>6778.63641946066</v>
      </c>
    </row>
    <row r="19" customFormat="false" ht="15" hidden="false" customHeight="true" outlineLevel="0" collapsed="false">
      <c r="B19" s="6" t="s">
        <v>607</v>
      </c>
      <c r="C19" s="127" t="n">
        <f aca="false">Hipotesis!$C$13</f>
        <v>0.22</v>
      </c>
    </row>
    <row r="21" customFormat="false" ht="21.75" hidden="false" customHeight="true" outlineLevel="0" collapsed="false">
      <c r="B21" s="4" t="s">
        <v>608</v>
      </c>
      <c r="C21" s="4"/>
      <c r="D21" s="4"/>
      <c r="E21" s="4"/>
      <c r="F21" s="4"/>
      <c r="G21" s="4"/>
    </row>
    <row r="22" customFormat="false" ht="15" hidden="false" customHeight="true" outlineLevel="0" collapsed="false">
      <c r="B22" s="92" t="s">
        <v>609</v>
      </c>
      <c r="C22" s="128" t="n">
        <f aca="false">C6*C7</f>
        <v>57061.97</v>
      </c>
    </row>
    <row r="23" customFormat="false" ht="15" hidden="false" customHeight="true" outlineLevel="0" collapsed="false">
      <c r="B23" s="30" t="s">
        <v>610</v>
      </c>
      <c r="C23" s="128" t="n">
        <f aca="false">C10</f>
        <v>12200</v>
      </c>
    </row>
    <row r="24" customFormat="false" ht="15" hidden="false" customHeight="true" outlineLevel="0" collapsed="false">
      <c r="B24" s="30" t="s">
        <v>611</v>
      </c>
      <c r="C24" s="129" t="n">
        <f aca="false">-C8</f>
        <v>-1930</v>
      </c>
    </row>
    <row r="25" customFormat="false" ht="15" hidden="false" customHeight="true" outlineLevel="0" collapsed="false">
      <c r="B25" s="30" t="s">
        <v>612</v>
      </c>
      <c r="C25" s="129" t="n">
        <f aca="false">-C9</f>
        <v>-715</v>
      </c>
    </row>
    <row r="26" customFormat="false" ht="15" hidden="false" customHeight="true" outlineLevel="0" collapsed="false">
      <c r="B26" s="92" t="s">
        <v>613</v>
      </c>
      <c r="C26" s="130" t="n">
        <f aca="false">C22+C10-C8-C9</f>
        <v>66616.97</v>
      </c>
    </row>
    <row r="27" customFormat="false" ht="15" hidden="false" customHeight="true" outlineLevel="0" collapsed="false">
      <c r="B27" s="30" t="s">
        <v>614</v>
      </c>
      <c r="C27" s="129" t="n">
        <f aca="false">-C13</f>
        <v>-19754.1968263155</v>
      </c>
    </row>
    <row r="28" customFormat="false" ht="15" hidden="false" customHeight="true" outlineLevel="0" collapsed="false">
      <c r="B28" s="92" t="s">
        <v>615</v>
      </c>
      <c r="C28" s="130" t="n">
        <f aca="false">C26-C13</f>
        <v>46862.7731736845</v>
      </c>
    </row>
    <row r="29" customFormat="false" ht="15" hidden="false" customHeight="true" outlineLevel="0" collapsed="false">
      <c r="B29" s="92" t="s">
        <v>616</v>
      </c>
      <c r="C29" s="130" t="n">
        <f aca="false">C28*(1+C11)^5</f>
        <v>71813.0603623421</v>
      </c>
    </row>
    <row r="31" customFormat="false" ht="21.75" hidden="false" customHeight="true" outlineLevel="0" collapsed="false">
      <c r="B31" s="4" t="s">
        <v>617</v>
      </c>
      <c r="C31" s="4"/>
      <c r="D31" s="4"/>
      <c r="E31" s="4"/>
      <c r="F31" s="4"/>
      <c r="G31" s="4"/>
    </row>
    <row r="32" customFormat="false" ht="15" hidden="false" customHeight="true" outlineLevel="0" collapsed="false">
      <c r="B32" s="12" t="s">
        <v>618</v>
      </c>
      <c r="C32" s="12"/>
      <c r="D32" s="12"/>
      <c r="E32" s="12"/>
      <c r="F32" s="12"/>
      <c r="G32" s="12"/>
    </row>
    <row r="33" customFormat="false" ht="17.25" hidden="false" customHeight="true" outlineLevel="0" collapsed="false">
      <c r="B33" s="92" t="s">
        <v>619</v>
      </c>
      <c r="C33" s="131" t="n">
        <f aca="false">(C29*C11-C14)/(C29+C14)</f>
        <v>0.0118963873899882</v>
      </c>
      <c r="D33" s="17" t="s">
        <v>620</v>
      </c>
      <c r="E33" s="132" t="n">
        <f aca="false">C33-C12</f>
        <v>-0.00810361261001181</v>
      </c>
      <c r="G33" s="133" t="s">
        <v>621</v>
      </c>
    </row>
    <row r="35" customFormat="false" ht="21.75" hidden="false" customHeight="true" outlineLevel="0" collapsed="false">
      <c r="B35" s="4" t="s">
        <v>622</v>
      </c>
      <c r="C35" s="4"/>
      <c r="D35" s="4"/>
      <c r="E35" s="4"/>
      <c r="F35" s="4"/>
      <c r="G35" s="4"/>
    </row>
    <row r="36" customFormat="false" ht="15" hidden="false" customHeight="true" outlineLevel="0" collapsed="false">
      <c r="B36" s="12" t="s">
        <v>623</v>
      </c>
      <c r="C36" s="12"/>
      <c r="D36" s="12"/>
      <c r="E36" s="12"/>
      <c r="F36" s="12"/>
      <c r="G36" s="12"/>
    </row>
    <row r="37" customFormat="false" ht="15" hidden="false" customHeight="true" outlineLevel="0" collapsed="false">
      <c r="B37" s="15" t="s">
        <v>624</v>
      </c>
      <c r="C37" s="134" t="n">
        <v>0.075</v>
      </c>
      <c r="D37" s="134" t="n">
        <v>0.085</v>
      </c>
      <c r="E37" s="134" t="n">
        <v>0.0912</v>
      </c>
      <c r="F37" s="134" t="n">
        <v>0.095</v>
      </c>
      <c r="G37" s="134" t="n">
        <v>0.105</v>
      </c>
      <c r="H37" s="134" t="n">
        <v>0.115</v>
      </c>
    </row>
    <row r="38" customFormat="false" ht="15" hidden="false" customHeight="true" outlineLevel="0" collapsed="false">
      <c r="B38" s="135" t="s">
        <v>625</v>
      </c>
      <c r="C38" s="136" t="n">
        <f aca="false">((Modelo!C36/(1+C$37)^0.5 + Modelo!D36/(1+C$37)^1.5 + Modelo!E36/(1+C$37)^2.5 + Modelo!F36/(1+C$37)^3.5 + Modelo!G36/(1+C$37)^4.5)+(Modelo!G36*(1+C12)/(C$37-C12))/(1+C$37)^5+C8+C9-C10)/C7</f>
        <v>70.8176528120036</v>
      </c>
      <c r="D38" s="136" t="n">
        <f aca="false">((Modelo!C36/(1+D$37)^0.5 + Modelo!D36/(1+D$37)^1.5 + Modelo!E36/(1+D$37)^2.5 + Modelo!F36/(1+D$37)^3.5 + Modelo!G36/(1+D$37)^4.5)+(Modelo!G36*(1+C12)/(D$37-C12))/(1+D$37)^5+C8+C9-C10)/C7</f>
        <v>58.6131565883098</v>
      </c>
      <c r="E38" s="137" t="n">
        <f aca="false">((Modelo!C36/(1+E$37)^0.5 + Modelo!D36/(1+E$37)^1.5 + Modelo!E36/(1+E$37)^2.5 + Modelo!F36/(1+E$37)^3.5 + Modelo!G36/(1+E$37)^4.5)+(Modelo!G36*(1+C12)/(E$37-C12))/(1+E$37)^5+C8+C9-C10)/C7</f>
        <v>52.776895859085</v>
      </c>
      <c r="F38" s="136" t="n">
        <f aca="false">((Modelo!C36/(1+F$37)^0.5 + Modelo!D36/(1+F$37)^1.5 + Modelo!E36/(1+F$37)^2.5 + Modelo!F36/(1+F$37)^3.5 + Modelo!G36/(1+F$37)^4.5)+(Modelo!G36*(1+C12)/(F$37-C12))/(1+F$37)^5+C8+C9-C10)/C7</f>
        <v>49.6797748347528</v>
      </c>
      <c r="G38" s="136" t="n">
        <f aca="false">((Modelo!C36/(1+G$37)^0.5 + Modelo!D36/(1+G$37)^1.5 + Modelo!E36/(1+G$37)^2.5 + Modelo!F36/(1+G$37)^3.5 + Modelo!G36/(1+G$37)^4.5)+(Modelo!G36*(1+C12)/(G$37-C12))/(1+G$37)^5+C8+C9-C10)/C7</f>
        <v>42.8617425367762</v>
      </c>
      <c r="H38" s="136" t="n">
        <f aca="false">((Modelo!C36/(1+H$37)^0.5 + Modelo!D36/(1+H$37)^1.5 + Modelo!E36/(1+H$37)^2.5 + Modelo!F36/(1+H$37)^3.5 + Modelo!G36/(1+H$37)^4.5)+(Modelo!G36*(1+C12)/(H$37-C12))/(1+H$37)^5+C8+C9-C10)/C7</f>
        <v>37.490029060563</v>
      </c>
    </row>
    <row r="39" customFormat="false" ht="18.75" hidden="false" customHeight="true" outlineLevel="0" collapsed="false">
      <c r="B39" s="25" t="s">
        <v>626</v>
      </c>
      <c r="C39" s="131" t="n">
        <f aca="false">SLOPE(C37:H37,C38:H38)*C6+INTERCEPT(C37:H37,C38:H38)</f>
        <v>0.0973879048768485</v>
      </c>
      <c r="D39" s="17" t="s">
        <v>627</v>
      </c>
      <c r="E39" s="132" t="n">
        <f aca="false">C39-C11</f>
        <v>0.00826951812001785</v>
      </c>
      <c r="G39" s="133" t="s">
        <v>628</v>
      </c>
    </row>
    <row r="41" customFormat="false" ht="21.75" hidden="false" customHeight="true" outlineLevel="0" collapsed="false">
      <c r="B41" s="4" t="s">
        <v>629</v>
      </c>
      <c r="C41" s="4"/>
      <c r="D41" s="4"/>
      <c r="E41" s="4"/>
      <c r="F41" s="4"/>
      <c r="G41" s="4"/>
    </row>
    <row r="42" customFormat="false" ht="15" hidden="false" customHeight="true" outlineLevel="0" collapsed="false">
      <c r="B42" s="12" t="s">
        <v>630</v>
      </c>
      <c r="C42" s="12"/>
      <c r="D42" s="12"/>
      <c r="E42" s="12"/>
      <c r="F42" s="12"/>
      <c r="G42" s="12"/>
    </row>
    <row r="43" customFormat="false" ht="15" hidden="false" customHeight="true" outlineLevel="0" collapsed="false">
      <c r="B43" s="92" t="s">
        <v>631</v>
      </c>
      <c r="C43" s="128" t="n">
        <f aca="false">C29*(C11-C12)/(1+C12)</f>
        <v>4866.27733364312</v>
      </c>
      <c r="D43" s="17" t="s">
        <v>632</v>
      </c>
      <c r="E43" s="138" t="n">
        <f aca="false">C43/C14-1</f>
        <v>-0.112050177271979</v>
      </c>
    </row>
    <row r="44" customFormat="false" ht="23.25" hidden="false" customHeight="true" outlineLevel="0" collapsed="false">
      <c r="B44" s="6" t="s">
        <v>633</v>
      </c>
      <c r="C44" s="128" t="n">
        <f aca="false">C43-C16-Modelo!G33-Modelo!G35</f>
        <v>6164.56203830462</v>
      </c>
    </row>
    <row r="45" customFormat="false" ht="15" hidden="false" customHeight="true" outlineLevel="0" collapsed="false">
      <c r="B45" s="6" t="s">
        <v>634</v>
      </c>
      <c r="C45" s="128" t="n">
        <f aca="false">C44/(1-C19)</f>
        <v>7903.2846644931</v>
      </c>
    </row>
    <row r="46" customFormat="false" ht="17.25" hidden="false" customHeight="true" outlineLevel="0" collapsed="false">
      <c r="B46" s="92" t="s">
        <v>635</v>
      </c>
      <c r="C46" s="139" t="n">
        <f aca="false">C45/C17</f>
        <v>0.365248915100808</v>
      </c>
      <c r="D46" s="17" t="s">
        <v>632</v>
      </c>
      <c r="E46" s="140" t="n">
        <f aca="false">C46-C15/C17</f>
        <v>-0.0363837690520069</v>
      </c>
      <c r="G46" s="133" t="s">
        <v>636</v>
      </c>
    </row>
    <row r="48" customFormat="false" ht="21.75" hidden="false" customHeight="true" outlineLevel="0" collapsed="false">
      <c r="B48" s="4" t="s">
        <v>637</v>
      </c>
      <c r="C48" s="4"/>
      <c r="D48" s="4"/>
      <c r="E48" s="4"/>
      <c r="F48" s="4"/>
      <c r="G48" s="4"/>
    </row>
    <row r="49" customFormat="false" ht="15" hidden="false" customHeight="true" outlineLevel="0" collapsed="false">
      <c r="B49" s="30" t="s">
        <v>638</v>
      </c>
      <c r="C49" s="128" t="n">
        <f aca="false">C18+C16-C43-Modelo!G35</f>
        <v>5266.26123952641</v>
      </c>
    </row>
    <row r="50" customFormat="false" ht="17.25" hidden="false" customHeight="true" outlineLevel="0" collapsed="false">
      <c r="B50" s="92" t="s">
        <v>639</v>
      </c>
      <c r="C50" s="139" t="n">
        <f aca="false">C49/C17</f>
        <v>0.243379339860565</v>
      </c>
      <c r="D50" s="17" t="s">
        <v>640</v>
      </c>
      <c r="E50" s="140" t="n">
        <f aca="false">C50-Hipotesis!$H$39</f>
        <v>0.0233793398605653</v>
      </c>
      <c r="G50" s="133" t="s">
        <v>641</v>
      </c>
    </row>
    <row r="52" customFormat="false" ht="21.75" hidden="false" customHeight="true" outlineLevel="0" collapsed="false">
      <c r="B52" s="4" t="s">
        <v>642</v>
      </c>
      <c r="C52" s="4"/>
      <c r="D52" s="4"/>
      <c r="E52" s="4"/>
      <c r="F52" s="4"/>
      <c r="G52" s="4"/>
    </row>
    <row r="53" customFormat="false" ht="15" hidden="false" customHeight="true" outlineLevel="0" collapsed="false">
      <c r="B53" s="6" t="s">
        <v>643</v>
      </c>
      <c r="C53" s="128" t="n">
        <f aca="false">C13 + C14*(1+C12)/(C11-C12)/(1+C11)^5</f>
        <v>72530.5722184626</v>
      </c>
    </row>
    <row r="54" customFormat="false" ht="15" hidden="false" customHeight="true" outlineLevel="0" collapsed="false">
      <c r="B54" s="6" t="s">
        <v>644</v>
      </c>
      <c r="C54" s="141" t="n">
        <f aca="false">C26/C53</f>
        <v>0.918467453963402</v>
      </c>
    </row>
    <row r="55" customFormat="false" ht="15" hidden="false" customHeight="true" outlineLevel="0" collapsed="false">
      <c r="B55" s="6" t="s">
        <v>645</v>
      </c>
      <c r="C55" s="128" t="n">
        <f aca="false">C17*C54</f>
        <v>19873.8707868346</v>
      </c>
    </row>
    <row r="56" customFormat="false" ht="18.75" hidden="false" customHeight="true" outlineLevel="0" collapsed="false">
      <c r="B56" s="92" t="s">
        <v>646</v>
      </c>
      <c r="C56" s="139" t="n">
        <f aca="false">(C55/Historico!G6)^(1/5)-1</f>
        <v>0.0294646145987814</v>
      </c>
      <c r="D56" s="17" t="s">
        <v>632</v>
      </c>
      <c r="E56" s="140" t="n">
        <f aca="false">C56-((C17/Historico!G6)^(1/5)-1)</f>
        <v>-0.0176607243874243</v>
      </c>
      <c r="G56" s="133" t="s">
        <v>647</v>
      </c>
    </row>
    <row r="58" customFormat="false" ht="21.75" hidden="false" customHeight="true" outlineLevel="0" collapsed="false">
      <c r="B58" s="4" t="s">
        <v>648</v>
      </c>
      <c r="C58" s="4"/>
      <c r="D58" s="4"/>
      <c r="E58" s="4"/>
      <c r="F58" s="4"/>
      <c r="G58" s="4"/>
    </row>
    <row r="59" customFormat="false" ht="23.25" hidden="false" customHeight="true" outlineLevel="0" collapsed="false">
      <c r="B59" s="15" t="s">
        <v>649</v>
      </c>
      <c r="C59" s="15" t="s">
        <v>650</v>
      </c>
      <c r="D59" s="15" t="s">
        <v>651</v>
      </c>
      <c r="E59" s="15" t="s">
        <v>652</v>
      </c>
      <c r="F59" s="15" t="s">
        <v>653</v>
      </c>
    </row>
    <row r="60" customFormat="false" ht="21.75" hidden="false" customHeight="true" outlineLevel="0" collapsed="false">
      <c r="B60" s="6" t="s">
        <v>654</v>
      </c>
      <c r="C60" s="142" t="n">
        <f aca="false">C12</f>
        <v>0.02</v>
      </c>
      <c r="D60" s="143" t="n">
        <f aca="false">C33</f>
        <v>0.0118963873899882</v>
      </c>
      <c r="E60" s="144" t="n">
        <f aca="false">D60-C60</f>
        <v>-0.00810361261001181</v>
      </c>
      <c r="F60" s="133" t="s">
        <v>655</v>
      </c>
    </row>
    <row r="61" customFormat="false" ht="21.75" hidden="false" customHeight="true" outlineLevel="0" collapsed="false">
      <c r="B61" s="6" t="s">
        <v>656</v>
      </c>
      <c r="C61" s="145" t="n">
        <f aca="false">C11</f>
        <v>0.0891183867568306</v>
      </c>
      <c r="D61" s="146" t="n">
        <f aca="false">C39</f>
        <v>0.0973879048768485</v>
      </c>
      <c r="E61" s="147" t="n">
        <f aca="false">D61-C61</f>
        <v>0.00826951812001785</v>
      </c>
      <c r="F61" s="133" t="s">
        <v>657</v>
      </c>
    </row>
    <row r="62" customFormat="false" ht="21.75" hidden="false" customHeight="true" outlineLevel="0" collapsed="false">
      <c r="B62" s="6" t="s">
        <v>658</v>
      </c>
      <c r="C62" s="142" t="n">
        <f aca="false">C15/C17</f>
        <v>0.401632684152815</v>
      </c>
      <c r="D62" s="143" t="n">
        <f aca="false">C45/C17</f>
        <v>0.365248915100808</v>
      </c>
      <c r="E62" s="144" t="n">
        <f aca="false">D62-C62</f>
        <v>-0.0363837690520069</v>
      </c>
      <c r="F62" s="133" t="s">
        <v>659</v>
      </c>
    </row>
    <row r="63" customFormat="false" ht="21.75" hidden="false" customHeight="true" outlineLevel="0" collapsed="false">
      <c r="B63" s="6" t="s">
        <v>660</v>
      </c>
      <c r="C63" s="142" t="n">
        <f aca="false">Hipotesis!$H$39</f>
        <v>0.22</v>
      </c>
      <c r="D63" s="143" t="n">
        <f aca="false">C49/C17</f>
        <v>0.243379339860565</v>
      </c>
      <c r="E63" s="144" t="n">
        <f aca="false">D63-C63</f>
        <v>0.0233793398605653</v>
      </c>
      <c r="F63" s="133" t="s">
        <v>661</v>
      </c>
    </row>
    <row r="64" customFormat="false" ht="21.75" hidden="false" customHeight="true" outlineLevel="0" collapsed="false">
      <c r="B64" s="6" t="s">
        <v>662</v>
      </c>
      <c r="C64" s="142" t="n">
        <f aca="false">(C17/Historico!G6)^(1/5)-1</f>
        <v>0.0471253389862056</v>
      </c>
      <c r="D64" s="143" t="n">
        <f aca="false">(C55/Historico!G6)^(1/5)-1</f>
        <v>0.0294646145987814</v>
      </c>
      <c r="E64" s="144" t="n">
        <f aca="false">D64-C64</f>
        <v>-0.0176607243874243</v>
      </c>
      <c r="F64" s="133" t="s">
        <v>663</v>
      </c>
    </row>
    <row r="66" customFormat="false" ht="21.75" hidden="false" customHeight="true" outlineLevel="0" collapsed="false">
      <c r="B66" s="4" t="s">
        <v>664</v>
      </c>
      <c r="C66" s="4"/>
      <c r="D66" s="4"/>
      <c r="E66" s="4"/>
      <c r="F66" s="4"/>
      <c r="G66" s="4"/>
    </row>
    <row r="67" customFormat="false" ht="31.5" hidden="false" customHeight="true" outlineLevel="0" collapsed="false">
      <c r="B67" s="148" t="s">
        <v>665</v>
      </c>
      <c r="C67" s="148"/>
      <c r="D67" s="148"/>
      <c r="E67" s="148"/>
      <c r="F67" s="148"/>
      <c r="G67" s="148"/>
    </row>
    <row r="68" customFormat="false" ht="31.5" hidden="false" customHeight="true" outlineLevel="0" collapsed="false">
      <c r="B68" s="148" t="s">
        <v>666</v>
      </c>
      <c r="C68" s="148"/>
      <c r="D68" s="148"/>
      <c r="E68" s="148"/>
      <c r="F68" s="148"/>
      <c r="G68" s="148"/>
    </row>
    <row r="69" customFormat="false" ht="31.5" hidden="false" customHeight="true" outlineLevel="0" collapsed="false">
      <c r="B69" s="148" t="s">
        <v>667</v>
      </c>
      <c r="C69" s="148"/>
      <c r="D69" s="148"/>
      <c r="E69" s="148"/>
      <c r="F69" s="148"/>
      <c r="G69" s="148"/>
    </row>
    <row r="70" customFormat="false" ht="31.5" hidden="false" customHeight="true" outlineLevel="0" collapsed="false">
      <c r="B70" s="148" t="s">
        <v>668</v>
      </c>
      <c r="C70" s="148"/>
      <c r="D70" s="148"/>
      <c r="E70" s="148"/>
      <c r="F70" s="148"/>
      <c r="G70" s="148"/>
    </row>
    <row r="71" customFormat="false" ht="31.5" hidden="false" customHeight="true" outlineLevel="0" collapsed="false">
      <c r="B71" s="148" t="s">
        <v>669</v>
      </c>
      <c r="C71" s="148"/>
      <c r="D71" s="148"/>
      <c r="E71" s="148"/>
      <c r="F71" s="148"/>
      <c r="G71" s="148"/>
    </row>
  </sheetData>
  <mergeCells count="19">
    <mergeCell ref="B2:G2"/>
    <mergeCell ref="B3:G3"/>
    <mergeCell ref="B5:G5"/>
    <mergeCell ref="B21:G21"/>
    <mergeCell ref="B31:G31"/>
    <mergeCell ref="B32:G32"/>
    <mergeCell ref="B35:G35"/>
    <mergeCell ref="B36:G36"/>
    <mergeCell ref="B41:G41"/>
    <mergeCell ref="B42:G42"/>
    <mergeCell ref="B48:G48"/>
    <mergeCell ref="B52:G52"/>
    <mergeCell ref="B58:G58"/>
    <mergeCell ref="B66:G66"/>
    <mergeCell ref="B67:G67"/>
    <mergeCell ref="B68:G68"/>
    <mergeCell ref="B69:G69"/>
    <mergeCell ref="B70:G70"/>
    <mergeCell ref="B71:G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8"/>
    <col collapsed="false" customWidth="true" hidden="false" outlineLevel="0" max="3" min="3" style="1" width="75"/>
    <col collapsed="false" customWidth="true" hidden="false" outlineLevel="0" max="4" min="4" style="1" width="18"/>
  </cols>
  <sheetData>
    <row r="2" customFormat="false" ht="25.5" hidden="false" customHeight="true" outlineLevel="0" collapsed="false">
      <c r="B2" s="149" t="s">
        <v>670</v>
      </c>
      <c r="C2" s="149"/>
      <c r="D2" s="149"/>
    </row>
    <row r="3" customFormat="false" ht="15" hidden="false" customHeight="true" outlineLevel="0" collapsed="false">
      <c r="B3" s="112" t="s">
        <v>671</v>
      </c>
      <c r="C3" s="112"/>
      <c r="D3" s="112"/>
    </row>
    <row r="5" customFormat="false" ht="21.75" hidden="false" customHeight="true" outlineLevel="0" collapsed="false">
      <c r="B5" s="150" t="s">
        <v>672</v>
      </c>
      <c r="C5" s="150"/>
      <c r="D5" s="150"/>
    </row>
    <row r="6" customFormat="false" ht="97.5" hidden="false" customHeight="true" outlineLevel="0" collapsed="false">
      <c r="B6" s="151" t="s">
        <v>673</v>
      </c>
      <c r="C6" s="13" t="s">
        <v>674</v>
      </c>
    </row>
    <row r="8" customFormat="false" ht="21.75" hidden="false" customHeight="true" outlineLevel="0" collapsed="false">
      <c r="B8" s="152" t="s">
        <v>675</v>
      </c>
      <c r="C8" s="152"/>
      <c r="D8" s="152"/>
    </row>
    <row r="9" customFormat="false" ht="84" hidden="false" customHeight="true" outlineLevel="0" collapsed="false">
      <c r="B9" s="151" t="s">
        <v>676</v>
      </c>
      <c r="C9" s="13" t="s">
        <v>677</v>
      </c>
    </row>
    <row r="11" customFormat="false" ht="84" hidden="false" customHeight="true" outlineLevel="0" collapsed="false">
      <c r="B11" s="151" t="s">
        <v>678</v>
      </c>
      <c r="C11" s="13" t="s">
        <v>679</v>
      </c>
    </row>
    <row r="13" customFormat="false" ht="84" hidden="false" customHeight="true" outlineLevel="0" collapsed="false">
      <c r="B13" s="151" t="s">
        <v>680</v>
      </c>
      <c r="C13" s="13" t="s">
        <v>681</v>
      </c>
    </row>
    <row r="15" customFormat="false" ht="21.75" hidden="false" customHeight="true" outlineLevel="0" collapsed="false">
      <c r="B15" s="150" t="s">
        <v>682</v>
      </c>
      <c r="C15" s="150"/>
      <c r="D15" s="150"/>
    </row>
    <row r="16" customFormat="false" ht="15" hidden="false" customHeight="true" outlineLevel="0" collapsed="false">
      <c r="B16" s="153" t="s">
        <v>683</v>
      </c>
      <c r="C16" s="153" t="s">
        <v>684</v>
      </c>
      <c r="D16" s="153" t="s">
        <v>685</v>
      </c>
    </row>
    <row r="17" customFormat="false" ht="42" hidden="false" customHeight="true" outlineLevel="0" collapsed="false">
      <c r="B17" s="154" t="s">
        <v>686</v>
      </c>
      <c r="C17" s="155" t="s">
        <v>687</v>
      </c>
      <c r="D17" s="155" t="s">
        <v>688</v>
      </c>
    </row>
    <row r="18" customFormat="false" ht="42" hidden="false" customHeight="true" outlineLevel="0" collapsed="false">
      <c r="B18" s="151" t="s">
        <v>689</v>
      </c>
      <c r="C18" s="13" t="s">
        <v>690</v>
      </c>
      <c r="D18" s="13" t="s">
        <v>691</v>
      </c>
    </row>
    <row r="19" customFormat="false" ht="42" hidden="false" customHeight="true" outlineLevel="0" collapsed="false">
      <c r="B19" s="156" t="s">
        <v>692</v>
      </c>
      <c r="C19" s="157" t="s">
        <v>693</v>
      </c>
      <c r="D19" s="157" t="s">
        <v>694</v>
      </c>
    </row>
    <row r="20" customFormat="false" ht="42" hidden="false" customHeight="true" outlineLevel="0" collapsed="false">
      <c r="B20" s="158" t="s">
        <v>695</v>
      </c>
      <c r="C20" s="159" t="n">
        <f aca="false">0.3*30+0.45*46+0.25*70</f>
        <v>47.2</v>
      </c>
      <c r="D20" s="159" t="s">
        <v>696</v>
      </c>
    </row>
    <row r="22" customFormat="false" ht="21.75" hidden="false" customHeight="true" outlineLevel="0" collapsed="false">
      <c r="B22" s="150" t="s">
        <v>697</v>
      </c>
      <c r="C22" s="150"/>
      <c r="D22" s="150"/>
    </row>
    <row r="23" customFormat="false" ht="37.5" hidden="false" customHeight="true" outlineLevel="0" collapsed="false">
      <c r="B23" s="13" t="s">
        <v>698</v>
      </c>
      <c r="C23" s="160" t="s">
        <v>699</v>
      </c>
    </row>
    <row r="24" customFormat="false" ht="37.5" hidden="false" customHeight="true" outlineLevel="0" collapsed="false">
      <c r="B24" s="13" t="s">
        <v>700</v>
      </c>
      <c r="C24" s="160" t="s">
        <v>701</v>
      </c>
    </row>
    <row r="25" customFormat="false" ht="37.5" hidden="false" customHeight="true" outlineLevel="0" collapsed="false">
      <c r="B25" s="13" t="s">
        <v>702</v>
      </c>
      <c r="C25" s="13" t="s">
        <v>703</v>
      </c>
    </row>
    <row r="26" customFormat="false" ht="37.5" hidden="false" customHeight="true" outlineLevel="0" collapsed="false">
      <c r="B26" s="13" t="s">
        <v>704</v>
      </c>
      <c r="C26" s="13" t="s">
        <v>705</v>
      </c>
    </row>
    <row r="27" customFormat="false" ht="37.5" hidden="false" customHeight="true" outlineLevel="0" collapsed="false">
      <c r="B27" s="13" t="s">
        <v>706</v>
      </c>
      <c r="C27" s="160" t="s">
        <v>707</v>
      </c>
    </row>
    <row r="28" customFormat="false" ht="37.5" hidden="false" customHeight="true" outlineLevel="0" collapsed="false">
      <c r="B28" s="13" t="s">
        <v>708</v>
      </c>
      <c r="C28" s="160" t="s">
        <v>709</v>
      </c>
    </row>
    <row r="30" customFormat="false" ht="21.75" hidden="false" customHeight="true" outlineLevel="0" collapsed="false">
      <c r="B30" s="150" t="s">
        <v>710</v>
      </c>
      <c r="C30" s="150"/>
      <c r="D30" s="150"/>
    </row>
    <row r="31" customFormat="false" ht="15" hidden="false" customHeight="true" outlineLevel="0" collapsed="false">
      <c r="B31" s="161" t="s">
        <v>711</v>
      </c>
      <c r="C31" s="161" t="s">
        <v>712</v>
      </c>
    </row>
    <row r="32" customFormat="false" ht="33.75" hidden="false" customHeight="true" outlineLevel="0" collapsed="false">
      <c r="B32" s="13" t="s">
        <v>713</v>
      </c>
      <c r="C32" s="160" t="s">
        <v>714</v>
      </c>
    </row>
    <row r="33" customFormat="false" ht="33.75" hidden="false" customHeight="true" outlineLevel="0" collapsed="false">
      <c r="B33" s="13" t="s">
        <v>715</v>
      </c>
      <c r="C33" s="13" t="s">
        <v>716</v>
      </c>
    </row>
    <row r="34" customFormat="false" ht="33.75" hidden="false" customHeight="true" outlineLevel="0" collapsed="false">
      <c r="B34" s="13" t="s">
        <v>717</v>
      </c>
      <c r="C34" s="13" t="s">
        <v>718</v>
      </c>
    </row>
    <row r="35" customFormat="false" ht="33.75" hidden="false" customHeight="true" outlineLevel="0" collapsed="false">
      <c r="B35" s="13" t="s">
        <v>719</v>
      </c>
      <c r="C35" s="13" t="s">
        <v>720</v>
      </c>
    </row>
    <row r="36" customFormat="false" ht="33.75" hidden="false" customHeight="true" outlineLevel="0" collapsed="false">
      <c r="B36" s="13" t="s">
        <v>721</v>
      </c>
      <c r="C36" s="13" t="s">
        <v>722</v>
      </c>
    </row>
    <row r="37" customFormat="false" ht="33.75" hidden="false" customHeight="true" outlineLevel="0" collapsed="false">
      <c r="B37" s="13" t="s">
        <v>723</v>
      </c>
      <c r="C37" s="160" t="s">
        <v>724</v>
      </c>
    </row>
    <row r="38" customFormat="false" ht="33.75" hidden="false" customHeight="true" outlineLevel="0" collapsed="false">
      <c r="B38" s="13" t="s">
        <v>725</v>
      </c>
      <c r="C38" s="160" t="s">
        <v>726</v>
      </c>
    </row>
    <row r="39" customFormat="false" ht="33.75" hidden="false" customHeight="true" outlineLevel="0" collapsed="false">
      <c r="B39" s="13" t="s">
        <v>727</v>
      </c>
      <c r="C39" s="160" t="s">
        <v>728</v>
      </c>
    </row>
    <row r="41" customFormat="false" ht="21.75" hidden="false" customHeight="true" outlineLevel="0" collapsed="false">
      <c r="B41" s="150" t="s">
        <v>729</v>
      </c>
      <c r="C41" s="150"/>
      <c r="D41" s="150"/>
    </row>
    <row r="42" customFormat="false" ht="55.5" hidden="false" customHeight="true" outlineLevel="0" collapsed="false">
      <c r="B42" s="151" t="s">
        <v>730</v>
      </c>
      <c r="C42" s="13" t="s">
        <v>731</v>
      </c>
    </row>
    <row r="43" customFormat="false" ht="55.5" hidden="false" customHeight="true" outlineLevel="0" collapsed="false">
      <c r="B43" s="151" t="s">
        <v>732</v>
      </c>
      <c r="C43" s="13" t="s">
        <v>733</v>
      </c>
    </row>
    <row r="44" customFormat="false" ht="42" hidden="false" customHeight="true" outlineLevel="0" collapsed="false">
      <c r="B44" s="151" t="s">
        <v>734</v>
      </c>
      <c r="C44" s="13" t="s">
        <v>735</v>
      </c>
    </row>
  </sheetData>
  <mergeCells count="8">
    <mergeCell ref="B2:D2"/>
    <mergeCell ref="B3:D3"/>
    <mergeCell ref="B5:D5"/>
    <mergeCell ref="B8:D8"/>
    <mergeCell ref="B15:D15"/>
    <mergeCell ref="B22:D22"/>
    <mergeCell ref="B30:D30"/>
    <mergeCell ref="B41:D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2"/>
    <col collapsed="false" customWidth="true" hidden="false" outlineLevel="0" max="3" min="3" style="1" width="18"/>
    <col collapsed="false" customWidth="true" hidden="false" outlineLevel="0" max="4" min="4" style="1" width="60"/>
    <col collapsed="false" customWidth="true" hidden="false" outlineLevel="0" max="5" min="5" style="1" width="55"/>
  </cols>
  <sheetData>
    <row r="2" customFormat="false" ht="25.5" hidden="false" customHeight="true" outlineLevel="0" collapsed="false">
      <c r="B2" s="162" t="s">
        <v>736</v>
      </c>
      <c r="C2" s="162"/>
      <c r="D2" s="162"/>
      <c r="E2" s="162"/>
    </row>
    <row r="3" customFormat="false" ht="15" hidden="false" customHeight="true" outlineLevel="0" collapsed="false">
      <c r="B3" s="163" t="s">
        <v>737</v>
      </c>
      <c r="C3" s="163"/>
      <c r="D3" s="163"/>
      <c r="E3" s="163"/>
    </row>
    <row r="5" customFormat="false" ht="21.75" hidden="false" customHeight="true" outlineLevel="0" collapsed="false">
      <c r="B5" s="150" t="s">
        <v>738</v>
      </c>
      <c r="C5" s="150"/>
      <c r="D5" s="150"/>
      <c r="E5" s="150"/>
    </row>
    <row r="6" customFormat="false" ht="15" hidden="false" customHeight="true" outlineLevel="0" collapsed="false">
      <c r="B6" s="153" t="s">
        <v>739</v>
      </c>
      <c r="C6" s="153" t="s">
        <v>740</v>
      </c>
      <c r="D6" s="153" t="s">
        <v>741</v>
      </c>
      <c r="E6" s="153" t="s">
        <v>742</v>
      </c>
    </row>
    <row r="7" customFormat="false" ht="30" hidden="false" customHeight="true" outlineLevel="0" collapsed="false">
      <c r="B7" s="160" t="s">
        <v>743</v>
      </c>
      <c r="C7" s="17" t="s">
        <v>744</v>
      </c>
      <c r="D7" s="13" t="s">
        <v>745</v>
      </c>
      <c r="E7" s="164" t="s">
        <v>746</v>
      </c>
    </row>
    <row r="8" customFormat="false" ht="30" hidden="false" customHeight="true" outlineLevel="0" collapsed="false">
      <c r="B8" s="160" t="s">
        <v>747</v>
      </c>
      <c r="C8" s="17" t="s">
        <v>748</v>
      </c>
      <c r="D8" s="13" t="s">
        <v>749</v>
      </c>
      <c r="E8" s="164" t="s">
        <v>750</v>
      </c>
    </row>
    <row r="9" customFormat="false" ht="30" hidden="false" customHeight="true" outlineLevel="0" collapsed="false">
      <c r="B9" s="160" t="s">
        <v>751</v>
      </c>
      <c r="C9" s="17" t="s">
        <v>752</v>
      </c>
      <c r="D9" s="13" t="s">
        <v>753</v>
      </c>
      <c r="E9" s="164" t="s">
        <v>754</v>
      </c>
    </row>
    <row r="10" customFormat="false" ht="30" hidden="false" customHeight="true" outlineLevel="0" collapsed="false">
      <c r="B10" s="160" t="s">
        <v>755</v>
      </c>
      <c r="C10" s="17" t="s">
        <v>61</v>
      </c>
      <c r="D10" s="13" t="s">
        <v>756</v>
      </c>
      <c r="E10" s="164" t="s">
        <v>757</v>
      </c>
    </row>
    <row r="11" customFormat="false" ht="30" hidden="false" customHeight="true" outlineLevel="0" collapsed="false">
      <c r="B11" s="160" t="s">
        <v>758</v>
      </c>
      <c r="C11" s="17" t="s">
        <v>759</v>
      </c>
      <c r="D11" s="13" t="s">
        <v>760</v>
      </c>
      <c r="E11" s="164" t="s">
        <v>761</v>
      </c>
    </row>
    <row r="12" customFormat="false" ht="30" hidden="false" customHeight="true" outlineLevel="0" collapsed="false">
      <c r="B12" s="160" t="s">
        <v>762</v>
      </c>
      <c r="C12" s="17" t="s">
        <v>763</v>
      </c>
      <c r="D12" s="13" t="s">
        <v>764</v>
      </c>
      <c r="E12" s="164" t="s">
        <v>765</v>
      </c>
    </row>
    <row r="13" customFormat="false" ht="30" hidden="false" customHeight="true" outlineLevel="0" collapsed="false">
      <c r="B13" s="160" t="s">
        <v>766</v>
      </c>
      <c r="C13" s="17" t="s">
        <v>767</v>
      </c>
      <c r="D13" s="13" t="s">
        <v>764</v>
      </c>
      <c r="E13" s="164" t="s">
        <v>768</v>
      </c>
    </row>
    <row r="15" customFormat="false" ht="21.75" hidden="false" customHeight="true" outlineLevel="0" collapsed="false">
      <c r="B15" s="150" t="s">
        <v>769</v>
      </c>
      <c r="C15" s="150"/>
      <c r="D15" s="150"/>
      <c r="E15" s="150"/>
    </row>
    <row r="16" customFormat="false" ht="26.25" hidden="false" customHeight="true" outlineLevel="0" collapsed="false">
      <c r="B16" s="153" t="s">
        <v>770</v>
      </c>
      <c r="C16" s="153" t="s">
        <v>771</v>
      </c>
      <c r="D16" s="153" t="s">
        <v>741</v>
      </c>
      <c r="E16" s="153" t="s">
        <v>742</v>
      </c>
    </row>
    <row r="17" customFormat="false" ht="25.5" hidden="false" customHeight="true" outlineLevel="0" collapsed="false">
      <c r="B17" s="160" t="s">
        <v>772</v>
      </c>
      <c r="C17" s="160" t="s">
        <v>773</v>
      </c>
      <c r="D17" s="13" t="s">
        <v>774</v>
      </c>
      <c r="E17" s="164" t="s">
        <v>775</v>
      </c>
    </row>
    <row r="18" customFormat="false" ht="25.5" hidden="false" customHeight="true" outlineLevel="0" collapsed="false">
      <c r="B18" s="160" t="s">
        <v>776</v>
      </c>
      <c r="C18" s="160" t="s">
        <v>777</v>
      </c>
      <c r="D18" s="165" t="s">
        <v>778</v>
      </c>
      <c r="E18" s="164" t="s">
        <v>779</v>
      </c>
    </row>
    <row r="19" customFormat="false" ht="25.5" hidden="false" customHeight="true" outlineLevel="0" collapsed="false">
      <c r="B19" s="160" t="s">
        <v>780</v>
      </c>
      <c r="C19" s="160" t="s">
        <v>781</v>
      </c>
      <c r="D19" s="13" t="s">
        <v>782</v>
      </c>
      <c r="E19" s="164" t="s">
        <v>783</v>
      </c>
    </row>
    <row r="20" customFormat="false" ht="25.5" hidden="false" customHeight="true" outlineLevel="0" collapsed="false">
      <c r="B20" s="160" t="s">
        <v>784</v>
      </c>
      <c r="C20" s="160" t="s">
        <v>785</v>
      </c>
      <c r="D20" s="13" t="s">
        <v>786</v>
      </c>
      <c r="E20" s="164" t="s">
        <v>787</v>
      </c>
    </row>
    <row r="21" customFormat="false" ht="25.5" hidden="false" customHeight="true" outlineLevel="0" collapsed="false">
      <c r="B21" s="160" t="s">
        <v>788</v>
      </c>
      <c r="C21" s="160" t="s">
        <v>789</v>
      </c>
      <c r="D21" s="165" t="s">
        <v>790</v>
      </c>
      <c r="E21" s="164" t="s">
        <v>791</v>
      </c>
    </row>
    <row r="23" customFormat="false" ht="21.75" hidden="false" customHeight="true" outlineLevel="0" collapsed="false">
      <c r="B23" s="150" t="s">
        <v>792</v>
      </c>
      <c r="C23" s="150"/>
      <c r="D23" s="150"/>
      <c r="E23" s="150"/>
    </row>
    <row r="24" customFormat="false" ht="15" hidden="false" customHeight="true" outlineLevel="0" collapsed="false">
      <c r="B24" s="153" t="s">
        <v>793</v>
      </c>
      <c r="C24" s="153" t="s">
        <v>794</v>
      </c>
      <c r="D24" s="153" t="s">
        <v>741</v>
      </c>
      <c r="E24" s="153" t="s">
        <v>795</v>
      </c>
    </row>
    <row r="25" customFormat="false" ht="25.5" hidden="false" customHeight="true" outlineLevel="0" collapsed="false">
      <c r="B25" s="160" t="s">
        <v>796</v>
      </c>
      <c r="C25" s="160" t="s">
        <v>797</v>
      </c>
      <c r="D25" s="165" t="s">
        <v>798</v>
      </c>
      <c r="E25" s="164" t="s">
        <v>799</v>
      </c>
    </row>
    <row r="26" customFormat="false" ht="25.5" hidden="false" customHeight="true" outlineLevel="0" collapsed="false">
      <c r="B26" s="160" t="s">
        <v>800</v>
      </c>
      <c r="C26" s="160" t="s">
        <v>801</v>
      </c>
      <c r="D26" s="165" t="s">
        <v>802</v>
      </c>
      <c r="E26" s="164" t="s">
        <v>803</v>
      </c>
    </row>
    <row r="27" customFormat="false" ht="25.5" hidden="false" customHeight="true" outlineLevel="0" collapsed="false">
      <c r="B27" s="160" t="s">
        <v>804</v>
      </c>
      <c r="C27" s="160" t="s">
        <v>805</v>
      </c>
      <c r="D27" s="165" t="s">
        <v>806</v>
      </c>
      <c r="E27" s="164" t="s">
        <v>807</v>
      </c>
    </row>
    <row r="28" customFormat="false" ht="25.5" hidden="false" customHeight="true" outlineLevel="0" collapsed="false">
      <c r="B28" s="160" t="s">
        <v>808</v>
      </c>
      <c r="C28" s="160" t="s">
        <v>809</v>
      </c>
      <c r="D28" s="165" t="s">
        <v>810</v>
      </c>
      <c r="E28" s="164" t="s">
        <v>811</v>
      </c>
    </row>
    <row r="30" customFormat="false" ht="21.75" hidden="false" customHeight="true" outlineLevel="0" collapsed="false">
      <c r="B30" s="150" t="s">
        <v>812</v>
      </c>
      <c r="C30" s="150"/>
      <c r="D30" s="150"/>
      <c r="E30" s="150"/>
    </row>
    <row r="31" customFormat="false" ht="15" hidden="false" customHeight="true" outlineLevel="0" collapsed="false">
      <c r="B31" s="153" t="s">
        <v>739</v>
      </c>
      <c r="C31" s="153" t="s">
        <v>740</v>
      </c>
      <c r="D31" s="153" t="s">
        <v>813</v>
      </c>
      <c r="E31" s="153" t="s">
        <v>795</v>
      </c>
    </row>
    <row r="32" customFormat="false" ht="30" hidden="false" customHeight="true" outlineLevel="0" collapsed="false">
      <c r="B32" s="160" t="s">
        <v>814</v>
      </c>
      <c r="C32" s="160" t="s">
        <v>815</v>
      </c>
      <c r="D32" s="160" t="s">
        <v>816</v>
      </c>
      <c r="E32" s="164" t="s">
        <v>817</v>
      </c>
    </row>
    <row r="33" customFormat="false" ht="30" hidden="false" customHeight="true" outlineLevel="0" collapsed="false">
      <c r="B33" s="160" t="s">
        <v>818</v>
      </c>
      <c r="C33" s="160" t="s">
        <v>819</v>
      </c>
      <c r="D33" s="160" t="s">
        <v>820</v>
      </c>
      <c r="E33" s="164" t="s">
        <v>821</v>
      </c>
    </row>
    <row r="35" customFormat="false" ht="21.75" hidden="false" customHeight="true" outlineLevel="0" collapsed="false">
      <c r="B35" s="150" t="s">
        <v>822</v>
      </c>
      <c r="C35" s="150"/>
      <c r="D35" s="150"/>
      <c r="E35" s="150"/>
    </row>
    <row r="36" customFormat="false" ht="39" hidden="false" customHeight="true" outlineLevel="0" collapsed="false">
      <c r="B36" s="32" t="s">
        <v>823</v>
      </c>
      <c r="C36" s="32"/>
      <c r="D36" s="32"/>
      <c r="E36" s="32"/>
    </row>
    <row r="37" customFormat="false" ht="25.5" hidden="false" customHeight="true" outlineLevel="0" collapsed="false">
      <c r="B37" s="32" t="s">
        <v>824</v>
      </c>
      <c r="C37" s="32"/>
      <c r="D37" s="32"/>
      <c r="E37" s="32"/>
    </row>
    <row r="38" customFormat="false" ht="25.5" hidden="false" customHeight="true" outlineLevel="0" collapsed="false">
      <c r="B38" s="32" t="s">
        <v>825</v>
      </c>
      <c r="C38" s="32"/>
      <c r="D38" s="32"/>
      <c r="E38" s="32"/>
    </row>
    <row r="39" customFormat="false" ht="25.5" hidden="false" customHeight="true" outlineLevel="0" collapsed="false">
      <c r="B39" s="32" t="s">
        <v>826</v>
      </c>
      <c r="C39" s="32"/>
      <c r="D39" s="32"/>
      <c r="E39" s="32"/>
    </row>
    <row r="40" customFormat="false" ht="25.5" hidden="false" customHeight="true" outlineLevel="0" collapsed="false">
      <c r="B40" s="32" t="s">
        <v>827</v>
      </c>
      <c r="C40" s="32"/>
      <c r="D40" s="32"/>
      <c r="E40" s="32"/>
    </row>
    <row r="41" customFormat="false" ht="25.5" hidden="false" customHeight="true" outlineLevel="0" collapsed="false">
      <c r="B41" s="32" t="s">
        <v>828</v>
      </c>
      <c r="C41" s="32"/>
      <c r="D41" s="32"/>
      <c r="E41" s="32"/>
    </row>
    <row r="42" customFormat="false" ht="25.5" hidden="false" customHeight="true" outlineLevel="0" collapsed="false">
      <c r="B42" s="32" t="s">
        <v>829</v>
      </c>
      <c r="C42" s="32"/>
      <c r="D42" s="32"/>
      <c r="E42" s="32"/>
    </row>
    <row r="43" customFormat="false" ht="25.5" hidden="false" customHeight="true" outlineLevel="0" collapsed="false">
      <c r="B43" s="32" t="s">
        <v>830</v>
      </c>
      <c r="C43" s="32"/>
      <c r="D43" s="32"/>
      <c r="E43" s="32"/>
    </row>
    <row r="44" customFormat="false" ht="25.5" hidden="false" customHeight="true" outlineLevel="0" collapsed="false">
      <c r="B44" s="32" t="s">
        <v>831</v>
      </c>
      <c r="C44" s="32"/>
      <c r="D44" s="32"/>
      <c r="E44" s="32"/>
    </row>
    <row r="45" customFormat="false" ht="25.5" hidden="false" customHeight="true" outlineLevel="0" collapsed="false">
      <c r="B45" s="32" t="s">
        <v>832</v>
      </c>
      <c r="C45" s="32"/>
      <c r="D45" s="32"/>
      <c r="E45" s="32"/>
    </row>
    <row r="47" customFormat="false" ht="15" hidden="false" customHeight="true" outlineLevel="0" collapsed="false">
      <c r="B47" s="163" t="s">
        <v>833</v>
      </c>
      <c r="C47" s="163"/>
      <c r="D47" s="163"/>
      <c r="E47" s="163"/>
    </row>
  </sheetData>
  <mergeCells count="18">
    <mergeCell ref="B2:E2"/>
    <mergeCell ref="B3:E3"/>
    <mergeCell ref="B5:E5"/>
    <mergeCell ref="B15:E15"/>
    <mergeCell ref="B23:E23"/>
    <mergeCell ref="B30:E30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7:E47"/>
  </mergeCells>
  <hyperlinks>
    <hyperlink ref="D7" r:id="rId1" display="https://www.sec.gov/Archives/edgar/data/0001090012/000119312526056485/dvn-20251231.htm"/>
    <hyperlink ref="D8" r:id="rId2" display="https://www.sec.gov/Archives/edgar/data/0001090012/000119312526206689/d947371dex992.htm"/>
    <hyperlink ref="D9" r:id="rId3" display="https://www.sec.gov/Archives/edgar/data/0001090012/000119312526032720/d75203dex991.htm"/>
    <hyperlink ref="D10" r:id="rId4" display="https://www.sec.gov/Archives/edgar/data/0001090012/000119312526204307/d150144d425.htm"/>
    <hyperlink ref="D11" r:id="rId5" display="https://www.sec.gov/Archives/edgar/data/0000858470/000085847026000073/cog-20251231.htm"/>
    <hyperlink ref="D12" r:id="rId6" display="https://www.sec.gov/cgi-bin/browse-edgar?action=getcompany&amp;CIK=0001090012&amp;type=10-K"/>
    <hyperlink ref="D13" r:id="rId7" display="https://www.sec.gov/cgi-bin/browse-edgar?action=getcompany&amp;CIK=0001090012&amp;type=10-K"/>
    <hyperlink ref="D17" r:id="rId8" display="https://www.federalreserve.gov/releases/h15/"/>
    <hyperlink ref="D18" r:id="rId9" display="https://pages.stern.nyu.edu/~adamodar/"/>
    <hyperlink ref="D19" r:id="rId10" display="Yahoo Finance / Google Finance"/>
    <hyperlink ref="D20" r:id="rId11" display="Yahoo Finance"/>
    <hyperlink ref="D21" r:id="rId12" display="https://pages.stern.nyu.edu/~adamodar/New_Home_Page/datafile/Betas.html"/>
    <hyperlink ref="D25" r:id="rId13" display="https://investors.eogresources.com/"/>
    <hyperlink ref="D26" r:id="rId14" display="https://ir.diamondbackenergy.com/"/>
    <hyperlink ref="D27" r:id="rId15" display="https://www.conocophillips.com/investor-information/"/>
    <hyperlink ref="D28" r:id="rId16" display="https://www.oxy.com/investors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2026-05-17T16:55:37Z</dcterms:created>
  <dc:creator>openpyxl</dc:creator>
  <dc:description/>
  <dc:language>en-US</dc:language>
  <cp:lastModifiedBy/>
  <dcterms:modified xsi:type="dcterms:W3CDTF">2026-05-21T20:41:00Z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