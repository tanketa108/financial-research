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Resumen" sheetId="2" state="visible" r:id="rId4"/>
    <sheet name="Hipotesis" sheetId="3" state="visible" r:id="rId5"/>
    <sheet name="Historico" sheetId="4" state="visible" r:id="rId6"/>
    <sheet name="Modelo" sheetId="5" state="visible" r:id="rId7"/>
    <sheet name="DuPont_WC" sheetId="6" state="visible" r:id="rId8"/>
    <sheet name="Reverse_DCF" sheetId="7" state="visible" r:id="rId9"/>
    <sheet name="Conclusiones" sheetId="8" state="visible" r:id="rId10"/>
    <sheet name="Fuente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6" authorId="0">
      <text>
        <r>
          <rPr>
            <sz val="10"/>
            <rFont val="Arial"/>
            <family val="2"/>
          </rPr>
          <t xml:space="preserve">Source: Robinhood/Google Finance, 15-may-2026, intraday ~$405-410</t>
        </r>
      </text>
    </comment>
    <comment ref="C7" authorId="0">
      <text>
        <r>
          <rPr>
            <sz val="10"/>
            <rFont val="Arial"/>
            <family val="2"/>
          </rPr>
          <t xml:space="preserve">Source: MSFT 10-Q Q3 FY2026, diluted weighted-avg shares (Note 2 EPS)</t>
        </r>
      </text>
    </comment>
    <comment ref="C8" authorId="0">
      <text>
        <r>
          <rPr>
            <sz val="10"/>
            <rFont val="Arial"/>
            <family val="2"/>
          </rPr>
          <t xml:space="preserve">Source: MSFT 10-Q Q3 FY26 cover, shares outstanding as of 23-abr-2026</t>
        </r>
      </text>
    </comment>
    <comment ref="C9" authorId="0">
      <text>
        <r>
          <rPr>
            <sz val="10"/>
            <rFont val="Arial"/>
            <family val="2"/>
          </rPr>
          <t xml:space="preserve">Source: FRED DGS10, 15-may-2026; máximo 1-año por tensiones Iran/inflación</t>
        </r>
      </text>
    </comment>
    <comment ref="C10" authorId="0">
      <text>
        <r>
          <rPr>
            <sz val="10"/>
            <rFont val="Arial"/>
            <family val="2"/>
          </rPr>
          <t xml:space="preserve">Source: Damodaran ERP 2026 Edition, ene-2026, implied ERP S&amp;P500</t>
        </r>
      </text>
    </comment>
    <comment ref="C11" authorId="0">
      <text>
        <r>
          <rPr>
            <sz val="10"/>
            <rFont val="Arial"/>
            <family val="2"/>
          </rPr>
          <t xml:space="preserve">Source: Google Finance / Yahoo Finance, 15-may-2026</t>
        </r>
      </text>
    </comment>
    <comment ref="C12" authorId="0">
      <text>
        <r>
          <rPr>
            <sz val="10"/>
            <rFont val="Arial"/>
            <family val="2"/>
          </rPr>
          <t xml:space="preserve">Source: 10-Q AAA rating + ~25bp spread over 10Y UST</t>
        </r>
      </text>
    </comment>
    <comment ref="C13" authorId="0">
      <text>
        <r>
          <rPr>
            <sz val="10"/>
            <rFont val="Arial"/>
            <family val="2"/>
          </rPr>
          <t xml:space="preserve">Source: MSFT 10-K FY2025 Note 12, effective rate FY24=FY25=18%</t>
        </r>
      </text>
    </comment>
    <comment ref="C14" authorId="0">
      <text>
        <r>
          <rPr>
            <sz val="10"/>
            <rFont val="Arial"/>
            <family val="2"/>
          </rPr>
          <t xml:space="preserve">Source: MSFT 10-Q Q3 FY26 BS, current LTD $8,839 + LTD $31,423 = $40,262M</t>
        </r>
      </text>
    </comment>
    <comment ref="C15" authorId="0">
      <text>
        <r>
          <rPr>
            <sz val="10"/>
            <rFont val="Arial"/>
            <family val="2"/>
          </rPr>
          <t xml:space="preserve">Source: MSFT 10-Q Q3 FY26 BS, Cash $32,105 + ST inv $46,167 = $78,272M</t>
        </r>
      </text>
    </comment>
    <comment ref="C16" authorId="0">
      <text>
        <r>
          <rPr>
            <sz val="10"/>
            <rFont val="Arial"/>
            <family val="2"/>
          </rPr>
          <t xml:space="preserve">Source: MSFT 10-Q Q3 FY26 BS; incluye OpenAI ~27% equity stake</t>
        </r>
      </text>
    </comment>
  </commentList>
</comments>
</file>

<file path=xl/sharedStrings.xml><?xml version="1.0" encoding="utf-8"?>
<sst xmlns="http://schemas.openxmlformats.org/spreadsheetml/2006/main" count="1057" uniqueCount="900">
  <si>
    <t xml:space="preserve">NETFLIX, INC. (NFLX) — MODELO DE VALORACION v1.0  (basado en Plantilla v1)</t>
  </si>
  <si>
    <t xml:space="preserve">Modelo multi-método (8 metodologías) con sensibilidades y reverse-DCF. Fecha de corte: 18-may-2026. Datos verificados contra 10-K FY2025 (filed 23-ene-2026) y 10-Q Q1 2026 (filed 17-abr-2026).</t>
  </si>
  <si>
    <t xml:space="preserve">  ▶ QUICK START — los 4 pasos para usar la plantilla</t>
  </si>
  <si>
    <t xml:space="preserve">Paso 1</t>
  </si>
  <si>
    <t xml:space="preserve">Edita la hoja Hipotesis (azul = inputs). Empieza por: Spot price, shares outstanding, WACC components (Rf, ERP, Beta, Kd), y tasa fiscal. El WACC se calcula automáticamente.</t>
  </si>
  <si>
    <t xml:space="preserve">Paso 2</t>
  </si>
  <si>
    <t xml:space="preserve">Rellena la hoja Historico con datos reales de la empresa (5 años de P&amp;L + Cash Flow + Balance, más el último parcial YTD si aplica). Todos los datos hardcodeados están en color azul. Los ratios y % se calculan solos.</t>
  </si>
  <si>
    <t xml:space="preserve">Paso 3</t>
  </si>
  <si>
    <t xml:space="preserve">Vuelve a Hipotesis y ajusta las suposiciones de proyección: crecimiento por segmento (rows 30-32), margen operativo por segmento (rows 33-35), Capex/Rev y D&amp;A/Rev (rows 39-42). 5 años de proyección, columnas C-G + Terminal en H.</t>
  </si>
  <si>
    <t xml:space="preserve">Paso 4</t>
  </si>
  <si>
    <t xml:space="preserve">Revisa la hoja Modelo (8 metodologías + tabla de sensibilidades en cols L-R). Luego la hoja Reverse_DCF para ver qué pricea el mercado al spot actual. Termina con Conclusiones y Resumen escribiendo tu tesis.</t>
  </si>
  <si>
    <t xml:space="preserve">  ▶ ESTRUCTURA DEL ARCHIVO — 8 hojas + esta guía</t>
  </si>
  <si>
    <t xml:space="preserve">Instrucciones</t>
  </si>
  <si>
    <t xml:space="preserve">Esta hoja (guía de uso). Borrar antes de entregar al cliente, mantener para iteración interna.</t>
  </si>
  <si>
    <t xml:space="preserve">Resumen</t>
  </si>
  <si>
    <t xml:space="preserve">Output ejecutivo. Recomendación, precio objetivo, drivers clave. Aquí pegas tu tesis cuando el modelo esté terminado. Contiene un chart de barras con los 8 precios implícitos.</t>
  </si>
  <si>
    <t xml:space="preserve">Hipotesis</t>
  </si>
  <si>
    <t xml:space="preserve">INPUTS CRÍTICOS. 5 secciones: (1) Mercado/Coste de capital + WACC, (2) Crecimiento por segmento × año, (3) Capex/D&amp;A/SBC/WC ratios, (4) Valores terminales (g, exit multiples), (5) Inversiones estratégicas opcionales.</t>
  </si>
  <si>
    <t xml:space="preserve">Historico</t>
  </si>
  <si>
    <t xml:space="preserve">5 años de financials + YTD parcial. Estructura: A=P&amp;L, B=Cash Flow, C=Balance, D=Segmentos, E=KPIs trimestrales. Cada línea principal tiene su YoY% / margen INLINE debajo.</t>
  </si>
  <si>
    <t xml:space="preserve">Modelo</t>
  </si>
  <si>
    <t xml:space="preserve">Forecast operativo + 8 metodologías de valoración: 5 DCF (Gordon, H-Model, Exit EV/EBITDA, Exit EV/EBIT, Exit EV/Rev) + 3 NTM multiples (P/E, EV/EBITDA, EV/Rev). Incluye 4 tablas de sensibilidad embebidas (cols L-R).</t>
  </si>
  <si>
    <t xml:space="preserve">DuPont_WC</t>
  </si>
  <si>
    <t xml:space="preserve">Descomposición ROE/ROIC en 5 factores + análisis de working capital y cash conversion cycle. Para detectar si el ROE viene de margen, asset turnover o leverage.</t>
  </si>
  <si>
    <t xml:space="preserve">Reverse_DCF</t>
  </si>
  <si>
    <t xml:space="preserve">Dado el spot, qué assumptions implica el mercado (g terminal, WACC, EBIT margin, Capex/Rev, Revenue CAGR). 5 análisis closed-form, no iterativos.</t>
  </si>
  <si>
    <t xml:space="preserve">Conclusiones</t>
  </si>
  <si>
    <t xml:space="preserve">Narrativa cualitativa: tesis, debate bear/bull, escenarios, drivers ranked, riesgos, veredicto final con catalizadores a 12 meses.</t>
  </si>
  <si>
    <t xml:space="preserve">Fuentes</t>
  </si>
  <si>
    <t xml:space="preserve">Listado de fuentes citadas. CRÍTICO mantener fuentes primarias (filings) para auditabilidad.</t>
  </si>
  <si>
    <t xml:space="preserve">  ▶ CÓDIGO DE COLORES Y CONVENCIONES</t>
  </si>
  <si>
    <t xml:space="preserve">Texto azul</t>
  </si>
  <si>
    <t xml:space="preserve">Input hardcoded — EDITAS tú</t>
  </si>
  <si>
    <t xml:space="preserve">Texto negro</t>
  </si>
  <si>
    <t xml:space="preserve">Cálculo (formula) — NO TOCAR</t>
  </si>
  <si>
    <t xml:space="preserve">Texto gris itálico</t>
  </si>
  <si>
    <t xml:space="preserve">Ratio inline (debajo de la línea principal — margen/growth %)</t>
  </si>
  <si>
    <t xml:space="preserve">Texto azul itálico</t>
  </si>
  <si>
    <t xml:space="preserve">Prompt — sustituir por contenido propio (Conclusiones/Resumen)</t>
  </si>
  <si>
    <t xml:space="preserve">Fondo amarillo (FFE699)</t>
  </si>
  <si>
    <t xml:space="preserve">Header de tabla o input clave</t>
  </si>
  <si>
    <t xml:space="preserve">Fondo verde (E2EFDA)</t>
  </si>
  <si>
    <t xml:space="preserve">Output relevante o resultado clave</t>
  </si>
  <si>
    <t xml:space="preserve">Fondo azul claro (DDEBF7)</t>
  </si>
  <si>
    <t xml:space="preserve">Subtotal o métrica de control</t>
  </si>
  <si>
    <t xml:space="preserve">Fondo rojo claro</t>
  </si>
  <si>
    <t xml:space="preserve">Advertencia o assumption importante</t>
  </si>
  <si>
    <t xml:space="preserve">  ▶ LAS 8 METODOLOGÍAS — qué hace cada una y cuándo confiar en ella</t>
  </si>
  <si>
    <t xml:space="preserve">M1 — DCF Gordon Growth</t>
  </si>
  <si>
    <t xml:space="preserve">Suma PV de FCFF explícito (5 años, mid-year convention) + PV del valor terminal en perpetuidad FCFF_t × (1+g) / (WACC − g). El método más teórico pero EXTREMADAMENTE sensible a (WACC − g). Diferencias de 50bp en g cambian el precio 15-20%. Trade-off: pureza teórica vs sensibilidad.</t>
  </si>
  <si>
    <t xml:space="preserve">M2 — DCF H-Model (fade)</t>
  </si>
  <si>
    <t xml:space="preserve">Variante de Gordon donde el crecimiento decae linealmente de g_inicial (high-growth) a g_terminal durante n años. Más realista para compañías que aún están en fase de crecimiento. Útil cuando crees que el crecimiento no es estable sino transicional.</t>
  </si>
  <si>
    <t xml:space="preserve">M3 — DCF Exit EV/EBITDA</t>
  </si>
  <si>
    <t xml:space="preserve">PV del FCFF explícito + EV terminal calculado como múltiplo × EBITDA FY-final. Evita el problema de WACC−g del Gordon. Trade-off: el multiple aplicado debe ser DEFENDIBLE (comparable a peers o histórico de la empresa).</t>
  </si>
  <si>
    <t xml:space="preserve">M4 — DCF Exit EV/EBIT</t>
  </si>
  <si>
    <t xml:space="preserve">Igual que M3 pero usando EBIT × multiple. Más conservador (excluye D&amp;A). Útil para empresas asset-heavy donde EBITDA infla la valoración por D&amp;A alto.</t>
  </si>
  <si>
    <t xml:space="preserve">M5 — DCF Exit EV/Revenue</t>
  </si>
  <si>
    <t xml:space="preserve">Cross-check: EV terminal = revenue × P/S multiple. Útil para compañías sin profitability estable (early-stage, turnaround). En compañías maduras, es la metodología MÁS débil — no respeta unit economics.</t>
  </si>
  <si>
    <t xml:space="preserve">M6 — NTM P/E × FY27 EPS</t>
  </si>
  <si>
    <t xml:space="preserve">Equity = P/E × NI_FY27. Atajo basado en multiples NTM. Útil cuando tu peer set cotiza a un P/E claro y la convergencia es la tesis. Ignora el balance (cash, debt) — usar con cuidado en empresas net-cash.</t>
  </si>
  <si>
    <t xml:space="preserve">M7 — NTM EV/EBITDA × FY27 EBITDA</t>
  </si>
  <si>
    <t xml:space="preserve">EV = multiple × EBITDA_FY27. Bridge a equity con cash y debt actuales. Muy usado por sell-side. El más comparable cross-empresa porque normaliza capital structure.</t>
  </si>
  <si>
    <t xml:space="preserve">M8 — NTM EV/Revenue × FY27 Revenue</t>
  </si>
  <si>
    <t xml:space="preserve">Cross-check rapido. Útil en sectores con métricas operativas claras (SaaS, software). Combinar con tasa de growth — un multiple alto solo justifica con growth alto.</t>
  </si>
  <si>
    <t xml:space="preserve">Lectura</t>
  </si>
  <si>
    <t xml:space="preserve">La MEDIANA de las 8 metodologías es la referencia central (más robusta que el promedio frente a outliers). El RANGO (mín-máx) indica nivel de incertidumbre: si los 8 métodos rinden $80-$120, el precio justo es $100 ± 20%. Si rinden $50-$200, la valoración es altamente sensible a assumptions.</t>
  </si>
  <si>
    <t xml:space="preserve">  ▶ CHECKLIST DE CALIDAD — ANTES DE PRESENTAR EL MODELO</t>
  </si>
  <si>
    <t xml:space="preserve">✓ Todos los datos históricos referenciados a fuente primaria (memoria anual, reporte trimestral, etc.) — ver hoja Fuentes</t>
  </si>
  <si>
    <t xml:space="preserve">✓ Tasa libre de riesgo y ERP actualizadas a fecha actual (Damodaran refresh mensual)</t>
  </si>
  <si>
    <t xml:space="preserve">✓ Beta justificada: 5Y regression vs índice relevante O sectorial (Damodaran Industry Beta)</t>
  </si>
  <si>
    <t xml:space="preserve">✓ WACC en rango razonable (typically 7-12% para large-caps desarrollados, mayor para emerging)</t>
  </si>
  <si>
    <t xml:space="preserve">✓ Tasa terminal g ≤ crecimiento PIB nominal esperado (3-4% USD, 2% EUR)</t>
  </si>
  <si>
    <t xml:space="preserve">✓ Margen operativo terminal NO superior al máximo histórico del sector (industry leadership)</t>
  </si>
  <si>
    <t xml:space="preserve">✓ Capex/Revenue normalizado refleja D&amp;A en estado estacionario (Capex ≈ D&amp;A en steady state)</t>
  </si>
  <si>
    <t xml:space="preserve">✓ Mediana 8 métodos cae dentro del rango P25-P75 — si está fuera, revisar outliers</t>
  </si>
  <si>
    <t xml:space="preserve">✓ Sensibilidades (Tablas A-D en Modelo cols L-R) tienen el spot SOMEWHERE EN LA TABLA — si está fuera del rango, ajustar</t>
  </si>
  <si>
    <t xml:space="preserve">✓ Reverse DCF revela implícitas RAZONABLES (no requiere assumptions extremas)</t>
  </si>
  <si>
    <t xml:space="preserve">✓ Recomendación coherente con upside: typically BUY si mediana &gt;+15%, HOLD si ±15%, SELL si &lt;-15%</t>
  </si>
  <si>
    <t xml:space="preserve">✓ Riesgos identificados son CONCRETOS (no boilerplate) — sector-específicos y cuantificables</t>
  </si>
  <si>
    <t xml:space="preserve">✓ Spelling/typos revisados — el modelo es una entrega profesional</t>
  </si>
  <si>
    <t xml:space="preserve">  ▶ ERRORES COMUNES — DO NOT</t>
  </si>
  <si>
    <t xml:space="preserve">× NO inflar el margen operativo terminal por encima del máximo histórico del sector. Reversion to the mean es real.</t>
  </si>
  <si>
    <t xml:space="preserve">× NO usar Capex/Rev = D&amp;A/Rev en estado terminal — debe haber CONVERGENCIA hacia steady state.</t>
  </si>
  <si>
    <t xml:space="preserve">× NO confiar SOLO en una metodología. Las 8 sirven justamente para triangular la incertidumbre.</t>
  </si>
  <si>
    <t xml:space="preserve">× NO ignorar la SBC (stock-based comp) si es relevante. En tech, descontarla del FCFF puede cambiar 5-15% el precio.</t>
  </si>
  <si>
    <t xml:space="preserve">× NO usar el promedio de 8 métodos si hay un outlier obvio (ej. M5 EV/Revenue da 3x el resto) — usar mediana.</t>
  </si>
  <si>
    <t xml:space="preserve">× NO escribir conclusiones sin haber pasado por TODAS las sensibilidades y el reverse DCF.</t>
  </si>
  <si>
    <t xml:space="preserve">× NO entregar el modelo con la hoja Instrucciones visible al cliente final — es trabajo interno.</t>
  </si>
  <si>
    <t xml:space="preserve">× NO confundir Cash &amp; STI con todo el cash (long-term equity investments, treasury bonds van separados).</t>
  </si>
  <si>
    <t xml:space="preserve">× NO olvidar el efecto del impuesto sobre Kd (siempre after-tax) ni el efecto de capital structure en WACC.</t>
  </si>
  <si>
    <t xml:space="preserve">× NO usar beta de regression cuando la empresa ha cambiado su perfil de riesgo dramáticamente (ej. post-merger).</t>
  </si>
  <si>
    <t xml:space="preserve">  ▶ REFERENCIAS METODOLOGICAS</t>
  </si>
  <si>
    <t xml:space="preserve">Damodaran</t>
  </si>
  <si>
    <t xml:space="preserve">NYU Stern. Implied ERP mensual, betas sectoriales, multiples comparativos. Ref: https://pages.stern.nyu.edu/~adamodar/</t>
  </si>
  <si>
    <t xml:space="preserve">Federal Reserve</t>
  </si>
  <si>
    <t xml:space="preserve">FRED — Risk-free rates (10Y UST). Ref: https://fred.stlouisfed.org/series/DGS10</t>
  </si>
  <si>
    <t xml:space="preserve">McKinsey</t>
  </si>
  <si>
    <t xml:space="preserve">Valuation: Measuring and Managing the Value of Companies (Koller). Standard de la industria para metodologías DCF y WACC.</t>
  </si>
  <si>
    <t xml:space="preserve">CFA Institute</t>
  </si>
  <si>
    <t xml:space="preserve">Equity Asset Valuation (Stowe, Robinson, Pinto). Base de las metodologías de multiples y DCF Gordon/H-Model.</t>
  </si>
  <si>
    <t xml:space="preserve">SEC EDGAR / CNMV</t>
  </si>
  <si>
    <t xml:space="preserve">Filings públicos para datos históricos. USA: sec.gov/edgar. ES: cnmv.es. UK: gov.uk/government/organisations/companies-house.</t>
  </si>
  <si>
    <t xml:space="preserve">  ▶ NOTAS DE VERSION</t>
  </si>
  <si>
    <t xml:space="preserve">v1.0</t>
  </si>
  <si>
    <t xml:space="preserve">Plantilla inicial. 8 hojas, 684 fórmulas, 8 charts nativos. Basada en metodología MSFT valuation model. Soporta 3 segmentos, 5 años de proyección + Terminal, 8 métodos de valoración, 4 tablas de sensibilidad bidimensional, Reverse DCF closed-form en 5 dimensiones.</t>
  </si>
  <si>
    <t xml:space="preserve">  ▶ FLAGS CRITICOS ESPECIFICOS DE ESTE MODELO NFLX (leer antes de interpretar valoracion)</t>
  </si>
  <si>
    <t xml:space="preserve">1. WBD acquisition FALLO. Netflix retiro su oferta el 26-feb-2026. Paramount Skydance adquirio WBD el 27-feb-2026. El modelo es STANDALONE — el deep dive original referencia un bridge facility $42.2bn que YA NO APLICA.</t>
  </si>
  <si>
    <t xml:space="preserve">2. Stock split 10:1 efectivo 17-nov-2025. Todas las cifras por accion (EPS, precio objetivo, spot) son POST-SPLIT. Spot al cierre 15-may-2026: $87.02.</t>
  </si>
  <si>
    <t xml:space="preserve">3. Net income Q1 2026 ($5,283M) incluye ~$2.85bn de "Interest and other income" no recurrente. NO anualizar linealmente. La guia de margen FY26 (31.5%) sigue siendo el ancla.</t>
  </si>
  <si>
    <t xml:space="preserve">4. Los 3 segmentos en Hipotesis/Modelo son CONCEPTUALES (Suscripcion / Publicidad / Otros). Netflix reporta como un unico segmento operativo. Los splits son estimaciones del modelista basadas en disclosures de shareholder letters y guias publicas.</t>
  </si>
  <si>
    <t xml:space="preserve">5. Capex PP&amp;E es marginal (~1.5% revenue). El verdadero "capex economico" es el contenido, que se contabiliza en COR (amortizacion) y en OCF (pagos). FCF de Netflix YA descuenta el contenido — es mas limpio que un capex tradicional.</t>
  </si>
  <si>
    <t xml:space="preserve">NETFLIX, INC. (NFLX) — RESUMEN EJECUTIVO DE VALORACION</t>
  </si>
  <si>
    <t xml:space="preserve">Modelo valoración integral · Fecha valoración: 18-may-2026 · Cierre FY: 31-dic (calendar year)</t>
  </si>
  <si>
    <t xml:space="preserve">  1. COMPANY SNAPSHOT  /  MARKET DATA (15-may-2026)</t>
  </si>
  <si>
    <t xml:space="preserve">Co-CEOs</t>
  </si>
  <si>
    <t xml:space="preserve">Ted Sarandos, Greg Peters</t>
  </si>
  <si>
    <t xml:space="preserve">Spot ($)</t>
  </si>
  <si>
    <t xml:space="preserve">CFO</t>
  </si>
  <si>
    <t xml:space="preserve">Spencer Neumann</t>
  </si>
  <si>
    <t xml:space="preserve">Market Cap ($B)</t>
  </si>
  <si>
    <t xml:space="preserve">Headquarters</t>
  </si>
  <si>
    <t xml:space="preserve">Los Gatos, CA, USA</t>
  </si>
  <si>
    <t xml:space="preserve">Enterprise Value ($B)</t>
  </si>
  <si>
    <t xml:space="preserve">Fundada</t>
  </si>
  <si>
    <t xml:space="preserve">1997 (DVD); streaming desde 2007</t>
  </si>
  <si>
    <t xml:space="preserve">Shares Outstanding (M)</t>
  </si>
  <si>
    <t xml:space="preserve">Empleados (FY25)</t>
  </si>
  <si>
    <t xml:space="preserve">~16,000 (TradingView)</t>
  </si>
  <si>
    <t xml:space="preserve">52-week range</t>
  </si>
  <si>
    <t xml:space="preserve">$75.01 – $134.12 (post-split)</t>
  </si>
  <si>
    <t xml:space="preserve">Año fiscal</t>
  </si>
  <si>
    <t xml:space="preserve">Cierre 31-dic (calendar year)</t>
  </si>
  <si>
    <t xml:space="preserve">All-time high (close, post-split)</t>
  </si>
  <si>
    <t xml:space="preserve">$133.91 (30-jun-2025)</t>
  </si>
  <si>
    <t xml:space="preserve">Sector</t>
  </si>
  <si>
    <t xml:space="preserve">Streaming / Media / Entertainment</t>
  </si>
  <si>
    <t xml:space="preserve">P/E TTM</t>
  </si>
  <si>
    <t xml:space="preserve">~27-46x (rango Trefis 27.6x / Robinhood 46.5x)</t>
  </si>
  <si>
    <t xml:space="preserve">Segmentos reportados</t>
  </si>
  <si>
    <t xml:space="preserve">1 segmento operativo (streaming). Conceptuales: subscripción, ads, otros</t>
  </si>
  <si>
    <t xml:space="preserve">EPS TTM</t>
  </si>
  <si>
    <t xml:space="preserve">~$2.55 (post-split, FY25)</t>
  </si>
  <si>
    <t xml:space="preserve">Ticker / Exchange</t>
  </si>
  <si>
    <t xml:space="preserve">NFLX / NASDAQ-GS</t>
  </si>
  <si>
    <t xml:space="preserve">Beta (5Y)</t>
  </si>
  <si>
    <t xml:space="preserve">Index</t>
  </si>
  <si>
    <t xml:space="preserve">S&amp;P 500, NASDAQ-100</t>
  </si>
  <si>
    <t xml:space="preserve">Dividend Yield</t>
  </si>
  <si>
    <t xml:space="preserve">0% (NFLX no paga dividendos)</t>
  </si>
  <si>
    <t xml:space="preserve">Stock split reciente</t>
  </si>
  <si>
    <t xml:space="preserve">10-for-1 efectivo 17-nov-2025</t>
  </si>
  <si>
    <t xml:space="preserve">  2. Q1 2026 EARNINGS HIGHLIGHTS  (trimestre cerrado 31-mar-2026; filing 17-abr-2026)</t>
  </si>
  <si>
    <t xml:space="preserve">Revenue Q1 2026</t>
  </si>
  <si>
    <t xml:space="preserve">$12,250M</t>
  </si>
  <si>
    <t xml:space="preserve">+16.2% YoY (vs $10,543M Q1 2025)</t>
  </si>
  <si>
    <t xml:space="preserve">Operating Income Q1 2026</t>
  </si>
  <si>
    <t xml:space="preserve">$3,957M</t>
  </si>
  <si>
    <t xml:space="preserve">Op margin 32.3% (vs guide 32.1%)</t>
  </si>
  <si>
    <t xml:space="preserve">Net Income Q1 2026</t>
  </si>
  <si>
    <t xml:space="preserve">$5,283M</t>
  </si>
  <si>
    <t xml:space="preserve">Diluted EPS $1.23 — INCLUYE $2.85bn one-off (Other income)</t>
  </si>
  <si>
    <t xml:space="preserve">Paid memberships (Q4 2025 último report)</t>
  </si>
  <si>
    <t xml:space="preserve">&gt;325M</t>
  </si>
  <si>
    <t xml:space="preserve">Q1 2026 ya no reporta member adds (mgmt decision)</t>
  </si>
  <si>
    <t xml:space="preserve">Advertising revenue (Q1 run-rate)</t>
  </si>
  <si>
    <t xml:space="preserve">~$2.0-2.5bn anualizado</t>
  </si>
  <si>
    <t xml:space="preserve">Mgmt guía ~2x FY26 (vs &gt;$1.5bn FY25)</t>
  </si>
  <si>
    <t xml:space="preserve">Engagement</t>
  </si>
  <si>
    <t xml:space="preserve">~2h+ per member/day</t>
  </si>
  <si>
    <t xml:space="preserve">Estable; clave para retención + ad ROI</t>
  </si>
  <si>
    <t xml:space="preserve">Content additions FY25</t>
  </si>
  <si>
    <t xml:space="preserve">$17.1bn</t>
  </si>
  <si>
    <t xml:space="preserve">Content amortization $16.4bn (alineadas)</t>
  </si>
  <si>
    <t xml:space="preserve">Content obligations no reconocidas BS</t>
  </si>
  <si>
    <t xml:space="preserve">$18.4bn</t>
  </si>
  <si>
    <t xml:space="preserve">Compromisos operativos (no deuda)</t>
  </si>
  <si>
    <t xml:space="preserve">PP&amp;E Capex Q1 2026</t>
  </si>
  <si>
    <t xml:space="preserve">$196M</t>
  </si>
  <si>
    <t xml:space="preserve">Capex clásico minimal (1.5% rev)</t>
  </si>
  <si>
    <t xml:space="preserve">FCF Q1 2026</t>
  </si>
  <si>
    <t xml:space="preserve">$5,094M</t>
  </si>
  <si>
    <t xml:space="preserve">OCF $5,290M − Capex $196M</t>
  </si>
  <si>
    <t xml:space="preserve">Buyback Q1 2026</t>
  </si>
  <si>
    <t xml:space="preserve">$1,271M</t>
  </si>
  <si>
    <t xml:space="preserve">Bajo vs Q1 2025 ($3.5bn) — preserve cash en bid WBD (fallido)</t>
  </si>
  <si>
    <t xml:space="preserve">Dividends Q1 2026</t>
  </si>
  <si>
    <t xml:space="preserve">$0</t>
  </si>
  <si>
    <t xml:space="preserve">No dividend policy</t>
  </si>
  <si>
    <t xml:space="preserve">⚠ Operación Warner Bros. (WBD)</t>
  </si>
  <si>
    <t xml:space="preserve">NETFLIX SE RETIRÓ 26-feb-2026</t>
  </si>
  <si>
    <t xml:space="preserve">Paramount Skydance ganó @ $31/share ($110.9bn). Modelo es STANDALONE.</t>
  </si>
  <si>
    <t xml:space="preserve">Dividends Q3</t>
  </si>
  <si>
    <t xml:space="preserve">$6.2B</t>
  </si>
  <si>
    <t xml:space="preserve">  3. 5-YEAR HISTORICAL FINANCIALS  (FY21-FY25, $mm except per-share / ratios)</t>
  </si>
  <si>
    <t xml:space="preserve">Metric</t>
  </si>
  <si>
    <t xml:space="preserve">FY21</t>
  </si>
  <si>
    <t xml:space="preserve">FY22</t>
  </si>
  <si>
    <t xml:space="preserve">FY23</t>
  </si>
  <si>
    <t xml:space="preserve">FY24</t>
  </si>
  <si>
    <t xml:space="preserve">FY25</t>
  </si>
  <si>
    <t xml:space="preserve">Revenue ($mm)</t>
  </si>
  <si>
    <t xml:space="preserve">YoY growth</t>
  </si>
  <si>
    <t xml:space="preserve">+18.8%</t>
  </si>
  <si>
    <t xml:space="preserve">+6.5%</t>
  </si>
  <si>
    <t xml:space="preserve">+6.7%</t>
  </si>
  <si>
    <t xml:space="preserve">+15.6%</t>
  </si>
  <si>
    <t xml:space="preserve">+15.8%</t>
  </si>
  <si>
    <t xml:space="preserve">Operating Income</t>
  </si>
  <si>
    <t xml:space="preserve">Operating margin</t>
  </si>
  <si>
    <t xml:space="preserve">20.9%</t>
  </si>
  <si>
    <t xml:space="preserve">17.8%</t>
  </si>
  <si>
    <t xml:space="preserve">20.6%</t>
  </si>
  <si>
    <t xml:space="preserve">26.7%</t>
  </si>
  <si>
    <t xml:space="preserve">29.5%</t>
  </si>
  <si>
    <t xml:space="preserve">Net Income</t>
  </si>
  <si>
    <t xml:space="preserve">Diluted EPS (post-split)</t>
  </si>
  <si>
    <t xml:space="preserve">OCF</t>
  </si>
  <si>
    <t xml:space="preserve">PP&amp;E Capex</t>
  </si>
  <si>
    <t xml:space="preserve">Free Cash Flow</t>
  </si>
  <si>
    <t xml:space="preserve">Buybacks</t>
  </si>
  <si>
    <t xml:space="preserve">Dividends</t>
  </si>
  <si>
    <t xml:space="preserve">  4. VALUATION RESULTS — 8 metodologías (live link to Modelo)</t>
  </si>
  <si>
    <t xml:space="preserve">Method</t>
  </si>
  <si>
    <t xml:space="preserve">Implied Price</t>
  </si>
  <si>
    <t xml:space="preserve">[Completar con narrativa específica de la empresa]</t>
  </si>
  <si>
    <t xml:space="preserve">1. DCF Gordon Growth</t>
  </si>
  <si>
    <t xml:space="preserve">2. DCF H-Model (fade)</t>
  </si>
  <si>
    <t xml:space="preserve">3. DCF Exit EV/EBITDA</t>
  </si>
  <si>
    <t xml:space="preserve">4. DCF Exit EV/EBIT</t>
  </si>
  <si>
    <t xml:space="preserve">5. DCF Exit EV/Revenue</t>
  </si>
  <si>
    <t xml:space="preserve">6. NTM P/E × FY27E EPS</t>
  </si>
  <si>
    <t xml:space="preserve">7. NTM EV/EBITDA × FY27E EBITDA</t>
  </si>
  <si>
    <t xml:space="preserve">8. NTM EV/Revenue × FY27E Revenue</t>
  </si>
  <si>
    <t xml:space="preserve">MEDIANA (target price central)</t>
  </si>
  <si>
    <t xml:space="preserve">Promedio (8 métodos)</t>
  </si>
  <si>
    <t xml:space="preserve">Rango Min – Max</t>
  </si>
  <si>
    <t xml:space="preserve">  5. INVESTMENT THESIS  (resumen ejecutivo — ver Conclusiones para narrativa completa)</t>
  </si>
  <si>
    <t xml:space="preserve">Target price (mediana, sin descuento)</t>
  </si>
  <si>
    <t xml:space="preserve">vs spot:</t>
  </si>
  <si>
    <t xml:space="preserve">▸ Netflix entra en 2026 con la mejor calidad financiera de su historia: FY25 revenue $45.2bn (+16%), op margin 29.5% (vs 17.8% FY22), FCF $9.5bn. La conversión a caja cambió de régimen post-2023 (FCF/NI 80-128% vs negativo en 2021).</t>
  </si>
  <si>
    <t xml:space="preserve">▸ Stock split 10:1 (17-nov-2025) ha hecho la acción más accesible. Cotiza a $87 con market cap ~$367bn. P/E TTM 27-28x (Trefis); 3Y avg 38x. Múltiplos comprimidos vs media histórica.</t>
  </si>
  <si>
    <t xml:space="preserve">▸ Bid Warner Bros. (anunciado dic-2025 @ $27.75/share, $82.7bn) NO se materializó: Netflix se retiró 26-feb-2026; Paramount Skydance ganó. Esto ELIMINA la incertidumbre de balance/integración y libera capital para buybacks. Es POSITIVO neto para la tesis standalone.</t>
  </si>
  <si>
    <t xml:space="preserve">▸ Drivers FY26: (1) subida de precios marzo 2026 sin guidance increase posterior — Mar Mahaney (TD Cowen) y otros analistas Upfront positivos; (2) publicidad: 250M MAVs en tier ads (vs 190M nov-2025), guía ~2x FY26 vs &gt;$1.5bn FY25; (3) NFL deportivos, contenido coreano (KPop Demon Hunters tour), theatrical "Narnia" 2026.</t>
  </si>
  <si>
    <t xml:space="preserve">▸ Riesgo de modelización clave: Q1 2026 NI $5.28bn incluye $2.85bn one-off (interest and other income). Ajustando, run-rate NI Q1 ≈ $3.1bn (~10.0% effective tax adjusting). No anualizar lineal.</t>
  </si>
  <si>
    <t xml:space="preserve">▸ Sensibilidades clave: cada +100bp WACC ≈ -$10-13 precio; cada +100bp en op margin terminal ≈ +$5-7 precio; cada +50bp en g terminal ≈ +$8-10 precio. Ver Tablas A-D en Modelo cols L-R.</t>
  </si>
  <si>
    <t xml:space="preserve">▸ Tesis base (mediana 8 métodos): ~$77 vs spot $87 = -11% (HOLD/UNDERWEIGHT en base). El mercado pricea assumptions más optimistas (Reverse_DCF muestra Revenue CAGR implícita ~12% vs base 9.7%). Range valoración $54-$100; rango amplio refleja sensibilidad a hipótesis de margen terminal y growth.</t>
  </si>
  <si>
    <t xml:space="preserve">Detalle metodológico en hojas Hipotesis, Historico, Modelo, DuPont_WC, Reverse_DCF, Conclusiones. Fuentes en hoja Fuentes.</t>
  </si>
  <si>
    <t xml:space="preserve">NETFLIX, INC. (NFLX) — HIPOTESIS Y SUPUESTOS DE VALORACION</t>
  </si>
  <si>
    <t xml:space="preserve">LEYENDA:</t>
  </si>
  <si>
    <t xml:space="preserve">Input (hardcoded)</t>
  </si>
  <si>
    <t xml:space="preserve">Driver clave</t>
  </si>
  <si>
    <t xml:space="preserve">Formula</t>
  </si>
  <si>
    <t xml:space="preserve">Link a otra hoja</t>
  </si>
  <si>
    <t xml:space="preserve">Resultado/output</t>
  </si>
  <si>
    <t xml:space="preserve">  1. MERCADO Y COSTE DE CAPITAL</t>
  </si>
  <si>
    <t xml:space="preserve">Concepto</t>
  </si>
  <si>
    <t xml:space="preserve">Valor</t>
  </si>
  <si>
    <t xml:space="preserve">Fuente / Nota</t>
  </si>
  <si>
    <t xml:space="preserve">Spot price ($)</t>
  </si>
  <si>
    <t xml:space="preserve">Source: Morningstar/Macrotrends close 15-may-2026; 10:1 stock split efectivo 17-nov-2025</t>
  </si>
  <si>
    <t xml:space="preserve">Diluted shares outstanding (M)</t>
  </si>
  <si>
    <t xml:space="preserve">Source: NFLX 10-Q Q1 2026 (period 31-mar-2026), Statements of Operations, Note 2 EPS; filed 17-abr-2026</t>
  </si>
  <si>
    <t xml:space="preserve">Shares outstanding actual (M)</t>
  </si>
  <si>
    <t xml:space="preserve">Source: NFLX 10-Q Q1 2026 cover, shares outstanding as of 31-mar-2026: 4,212,794,271</t>
  </si>
  <si>
    <t xml:space="preserve">Risk-free rate (10Y bono soberano, %)</t>
  </si>
  <si>
    <t xml:space="preserve">Source: FRED DGS10 (10Y UST), mid-may-2026 ~4.50-4.55% range</t>
  </si>
  <si>
    <t xml:space="preserve">Equity Risk Premium implícita (%)</t>
  </si>
  <si>
    <t xml:space="preserve">Source: Damodaran ERP 2026 Edition (jan-2026 implied ERP S&amp;P500). Ref: https://pages.stern.nyu.edu/~adamodar/</t>
  </si>
  <si>
    <t xml:space="preserve">Beta (5Y o regression sectorial)</t>
  </si>
  <si>
    <t xml:space="preserve">Source: Yahoo Finance / 5Y monthly regression vs S&amp;P500 (rango histórico 1.15-1.40); usado punto medio</t>
  </si>
  <si>
    <t xml:space="preserve">Pre-tax cost of debt (%)</t>
  </si>
  <si>
    <t xml:space="preserve">Source: NFLX corporate bonds (5Y senior unsec) yielding ~5.0-5.5%, BBB- rating (S&amp;P/Moody) + ~70bp spread over 10Y UST</t>
  </si>
  <si>
    <t xml:space="preserve">Effective tax rate (%)</t>
  </si>
  <si>
    <t xml:space="preserve">Source: NFLX 10-K FY2025 + 10-Q Q1 2026; tax rate efectivo FY24=18.0%, FY25=~20.0%, Q1 2026=19.3%. Use 20% baseline.</t>
  </si>
  <si>
    <t xml:space="preserve">Total Debt ($mm, book)</t>
  </si>
  <si>
    <t xml:space="preserve">Source: NFLX 10-K FY2025 BS, long-term debt total $13,464M (filed 23-ene-2026)</t>
  </si>
  <si>
    <t xml:space="preserve">Cash + STI ($mm, book)</t>
  </si>
  <si>
    <t xml:space="preserve">Source: NFLX 10-K FY2025 BS, cash + short-term investments $9,062M</t>
  </si>
  <si>
    <t xml:space="preserve">Equity &amp; other investments ($mm)</t>
  </si>
  <si>
    <t xml:space="preserve">Source: NFLX no tiene equity investments materiales en BS (no incluye stakes estratégicos como MSFT/OpenAI)</t>
  </si>
  <si>
    <t xml:space="preserve">  WACC computado</t>
  </si>
  <si>
    <t xml:space="preserve">Cost of equity Ke = Rf + Beta × ERP</t>
  </si>
  <si>
    <t xml:space="preserve">After-tax cost of debt Kd = Kd*(1-T)</t>
  </si>
  <si>
    <t xml:space="preserve">Market cap = Spot × Shares ($mm)</t>
  </si>
  <si>
    <t xml:space="preserve">Total enterprise capital = MC + Debt</t>
  </si>
  <si>
    <t xml:space="preserve">Weight equity E/V</t>
  </si>
  <si>
    <t xml:space="preserve">Weight debt D/V</t>
  </si>
  <si>
    <t xml:space="preserve">WACC = E/V × Ke + D/V × Kd*(1-T)</t>
  </si>
  <si>
    <t xml:space="preserve">  2. CRECIMIENTO POR SEGMENTO  (forecast horizon = años fiscales junio)</t>
  </si>
  <si>
    <t xml:space="preserve">Segmento / Driver</t>
  </si>
  <si>
    <t xml:space="preserve">FY2026E</t>
  </si>
  <si>
    <t xml:space="preserve">FY2027E</t>
  </si>
  <si>
    <t xml:space="preserve">FY2028E</t>
  </si>
  <si>
    <t xml:space="preserve">FY2029E</t>
  </si>
  <si>
    <t xml:space="preserve">FY2030E</t>
  </si>
  <si>
    <t xml:space="preserve">Terminal</t>
  </si>
  <si>
    <t xml:space="preserve">S1 — Suscripción core (membership)</t>
  </si>
  <si>
    <t xml:space="preserve">Q4 2025: 325M paid members. FY25 +16%. Paid sharing tailwind madura. Pricing power compensa parcialmente. Mar-2026 price hikes ayudan FY26.</t>
  </si>
  <si>
    <t xml:space="preserve">S2 — Publicidad (ad tier)</t>
  </si>
  <si>
    <t xml:space="preserve">Source: Shareholder Letter Q4 2025 — ad revenue &gt;$1.5bn FY25, mgmt guía ~2x en FY26. Fade gradual con maduración del inventario y CPMs</t>
  </si>
  <si>
    <t xml:space="preserve">S3 — Otros (games, live events, theatrical, partnerships)</t>
  </si>
  <si>
    <t xml:space="preserve">Source: Mgmt commentary FY26 — expansión categorías (games, live events, video podcasts, "Narnia" theatrical 2026). Base pequeña, alto growth %</t>
  </si>
  <si>
    <t xml:space="preserve">S1 op margin %</t>
  </si>
  <si>
    <t xml:space="preserve">Subscription margin expandiendo por escala. Implícito vs op margin consolidado FY25 29.5% (incluye ads en fase inversión)</t>
  </si>
  <si>
    <t xml:space="preserve">S2 op margin %</t>
  </si>
  <si>
    <t xml:space="preserve">Negocio publicitario en fase inversión (ad-tech, ventas, medición). Margen escala con fill rate, CPMs, partners. Terminal vs peers CTV ~25-30%</t>
  </si>
  <si>
    <t xml:space="preserve">S3 op margin %</t>
  </si>
  <si>
    <t xml:space="preserve">Games + live events + theatrical: heavy upfront investment, margin maduración lenta. Conservador.</t>
  </si>
  <si>
    <t xml:space="preserve">  3. CAPEX, D&amp;A Y CAPITAL ALLOCATION</t>
  </si>
  <si>
    <t xml:space="preserve">Driver</t>
  </si>
  <si>
    <t xml:space="preserve">Capex / Revenue %</t>
  </si>
  <si>
    <t xml:space="preserve">PP&amp;E capex únicamente (clásico). Contenido va vía OCF (amortizado en cost of revenues). FY25 actual 1.5%; estable.</t>
  </si>
  <si>
    <t xml:space="preserve">D&amp;A / Revenue %</t>
  </si>
  <si>
    <t xml:space="preserve">PP&amp;E D&amp;A únicamente (~$99M Q1 2026 = ~$396M anualizado / $50bn rev ~ 0.8%). Content amortization YA está dentro de cost of revenues (FY25: $16.4bn)</t>
  </si>
  <si>
    <t xml:space="preserve">SBC / Revenue %</t>
  </si>
  <si>
    <t xml:space="preserve">Source: 10-Q Q1 2026 SBC $140M / Q rev $12.25bn ~ 1.15%. NFLX SBC moderada vs tech peers</t>
  </si>
  <si>
    <t xml:space="preserve">ΔWC / Revenue %</t>
  </si>
  <si>
    <t xml:space="preserve">NFLX subscription model: cobros adelantados → WC favorable (deferred revenue +$32M Q1 2026). Pequeño beneficio.</t>
  </si>
  <si>
    <t xml:space="preserve">Buybacks / FCF %</t>
  </si>
  <si>
    <t xml:space="preserve">FY25 96.5% FCF. Mgmt ha mantenido buybacks como vehículo principal de capital return. Sin dividendos.</t>
  </si>
  <si>
    <t xml:space="preserve">  4. VALORES TERMINALES (TV) Y CROSS-CHECKS</t>
  </si>
  <si>
    <t xml:space="preserve">Justificación</t>
  </si>
  <si>
    <t xml:space="preserve">Terminal growth rate g (perpetuidad, %)</t>
  </si>
  <si>
    <t xml:space="preserve">Gordon: g ≤ inflación + GDP real US ≈ 3%; NFLX como compounder global a largo plazo, igual a tasa nominal GDP</t>
  </si>
  <si>
    <t xml:space="preserve">H-Model: años fase alta (n)</t>
  </si>
  <si>
    <t xml:space="preserve">Periodo high-growth explícito antes de fade lineal</t>
  </si>
  <si>
    <t xml:space="preserve">H-Model: g inicial (%)</t>
  </si>
  <si>
    <t xml:space="preserve">g final FY30 estimada ~6-7% (post peak paid sharing/ads); fade linear hasta 3% terminal</t>
  </si>
  <si>
    <t xml:space="preserve">Exit EV/EBITDA múltiple (x)</t>
  </si>
  <si>
    <t xml:space="preserve">FY2030 exit. NFLX TTM EV/EBITDA ~14-15x (post-correction); peers: SPOT 28x, GOOGL 22x, DIS 12x. Premium moderado</t>
  </si>
  <si>
    <t xml:space="preserve">Exit EV/EBIT múltiple (x)</t>
  </si>
  <si>
    <t xml:space="preserve">FY2030 exit. NFLX TTM EV/EBIT ~16x; premium vs growth + margin expansion</t>
  </si>
  <si>
    <t xml:space="preserve">Exit EV/Revenue múltiple (x)</t>
  </si>
  <si>
    <t xml:space="preserve">FY2030 exit. NFLX TTM EV/Rev ~8x; mature target lower; cross-check con NFLX histórico mediano 6-7x</t>
  </si>
  <si>
    <t xml:space="preserve">Exit P/E (x)</t>
  </si>
  <si>
    <t xml:space="preserve">Cross-check; NFLX TTM P/E ~28x (Trefis 27.6x). Mediano histórico 30-40x. Conservador a 25x</t>
  </si>
  <si>
    <t xml:space="preserve">FCF conversion normalizada (post-pico capex)</t>
  </si>
  <si>
    <t xml:space="preserve">FCF/NI: histórico 80-128% (2023-2025); normalización a 80-90%</t>
  </si>
  <si>
    <t xml:space="preserve">  5. INVERSIONES ESTRATEGICAS  (n/a para NFLX — no tiene equity stakes materiales)</t>
  </si>
  <si>
    <t xml:space="preserve">Equity stake en partner estratégico ($mm)</t>
  </si>
  <si>
    <t xml:space="preserve">Source: NFLX 10-K FY2025 — no equity investments materiales (a diferencia de MSFT/OpenAI o GOOGL/Anthropic)</t>
  </si>
  <si>
    <t xml:space="preserve">Equity stake ownership (%)</t>
  </si>
  <si>
    <t xml:space="preserve">n/a</t>
  </si>
  <si>
    <t xml:space="preserve">Inversiones estratégicas (excluidas de EV)</t>
  </si>
  <si>
    <t xml:space="preserve">n/a — no equity investments en BS de NFLX</t>
  </si>
  <si>
    <t xml:space="preserve">NETFLIX, INC. (NFLX) — HISTORICO FINANCIERO  (FY2021 a FY2025 + Q1 2026)</t>
  </si>
  <si>
    <t xml:space="preserve">Cálculo (margen/growth)</t>
  </si>
  <si>
    <t xml:space="preserve">Inline ratio</t>
  </si>
  <si>
    <t xml:space="preserve">$ millions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</si>
  <si>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</si>
  <si>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</si>
  <si>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</si>
  <si>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</si>
  <si>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</si>
  <si>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Q1 2026</t>
  </si>
  <si>
    <t xml:space="preserve">  A. CUENTA DE RESULTADOS  ($mm except per-share)</t>
  </si>
  <si>
    <t xml:space="preserve">Revenue</t>
  </si>
  <si>
    <t xml:space="preserve">Source: NFLX 10-K FY2025 + 10-Q Q1 2026; CAGR FY21-FY25 = 11.0%</t>
  </si>
  <si>
    <t xml:space="preserve">  Revenue YoY %</t>
  </si>
  <si>
    <t xml:space="preserve">ytd</t>
  </si>
  <si>
    <t xml:space="preserve">CAGR FY21-FY25 ≈ 13.8%</t>
  </si>
  <si>
    <t xml:space="preserve">Cost of revenue</t>
  </si>
  <si>
    <t xml:space="preserve">Source: 10-K FY2025 + 10-Q Q1 2026; CoR incluye content amortization + delivery costs. FY21-FY24 estimados; FY25/Q1 2026 directos</t>
  </si>
  <si>
    <t xml:space="preserve">  Cost of revenue / Revenue %</t>
  </si>
  <si>
    <t xml:space="preserve">Subiendo por [Driver de crecimiento] infra</t>
  </si>
  <si>
    <t xml:space="preserve">Gross profit</t>
  </si>
  <si>
    <t xml:space="preserve">  Gross margin %</t>
  </si>
  <si>
    <t xml:space="preserve">69-70% [Plataforma cloud] GM en Último trimestre</t>
  </si>
  <si>
    <t xml:space="preserve">Technology and development (R&amp;D equivalent)</t>
  </si>
  <si>
    <t xml:space="preserve">Tech &amp; dev (R&amp;D equivalent) per 10-K; Q1 2026 $960M; FY21-FY24 estimados from filings</t>
  </si>
  <si>
    <t xml:space="preserve">  R&amp;D / Revenue %</t>
  </si>
  <si>
    <t xml:space="preserve">Estable ~12% — leverage del modelo</t>
  </si>
  <si>
    <t xml:space="preserve">S&amp;M</t>
  </si>
  <si>
    <t xml:space="preserve">Sales &amp; marketing per 10-K; Q1 2026 $842M directo</t>
  </si>
  <si>
    <t xml:space="preserve">  S&amp;M / Revenue %</t>
  </si>
  <si>
    <t xml:space="preserve">Bajando con scale (de 12% → 9%)</t>
  </si>
  <si>
    <t xml:space="preserve">G&amp;A</t>
  </si>
  <si>
    <t xml:space="preserve">G&amp;A per 10-K; Q1 2026 $603M directo</t>
  </si>
  <si>
    <t xml:space="preserve">  G&amp;A / Revenue %</t>
  </si>
  <si>
    <t xml:space="preserve">~3% estable</t>
  </si>
  <si>
    <t xml:space="preserve">Operating income</t>
  </si>
  <si>
    <t xml:space="preserve">Source: NFLX 10-K FY2025 + 10-Q Q1 2026 directo. Op margin FY25 29.5%, Q1 2026 32.3%</t>
  </si>
  <si>
    <t xml:space="preserve">  Operating margin %</t>
  </si>
  <si>
    <t xml:space="preserve">📈 +330bp FY21-FY25, +200bp más en 9M parcial (47%)</t>
  </si>
  <si>
    <t xml:space="preserve">  Op income YoY %</t>
  </si>
  <si>
    <t xml:space="preserve">Other income (expense), net</t>
  </si>
  <si>
    <t xml:space="preserve">NB Q1 2026: $2,852M en "Interest and other income (expense)" — ONE-OFF (FX gains/divest gains/hedging). El NI ajustado excluyendo este ítem ~$3,1bn</t>
  </si>
  <si>
    <t xml:space="preserve">Income before taxes</t>
  </si>
  <si>
    <t xml:space="preserve">Provision for income taxes</t>
  </si>
  <si>
    <t xml:space="preserve">  Effective tax rate</t>
  </si>
  <si>
    <t xml:space="preserve">18% FY24-FY25, ligero uptick Último trimestre</t>
  </si>
  <si>
    <t xml:space="preserve">Net income</t>
  </si>
  <si>
    <t xml:space="preserve">Source: 10-K FY2025 + 10-Q Q1 2026. Q1 2026 incluye $2.85bn one-off (Other income)</t>
  </si>
  <si>
    <t xml:space="preserve">  Net margin %</t>
  </si>
  <si>
    <t xml:space="preserve">~36% — quality of earnings alto</t>
  </si>
  <si>
    <t xml:space="preserve">  Net income YoY %</t>
  </si>
  <si>
    <t xml:space="preserve">Diluted EPS ($)</t>
  </si>
  <si>
    <t xml:space="preserve">EPS post-split 10:1 (efectivo 17-nov-2025). Historical retroactively adjusted. Q1 2026 inflado por one-off</t>
  </si>
  <si>
    <t xml:space="preserve">  Diluted EPS YoY %</t>
  </si>
  <si>
    <t xml:space="preserve">Buybacks ayudan ~50bp/año al EPS growth</t>
  </si>
  <si>
    <t xml:space="preserve">Diluted shares (M)</t>
  </si>
  <si>
    <t xml:space="preserve">Diluted weighted-avg shares post-10:1 split. Buybacks reducen count</t>
  </si>
  <si>
    <t xml:space="preserve">  B. CASH FLOW  ($mm)</t>
  </si>
  <si>
    <t xml:space="preserve">Net cash from operations (OCF)</t>
  </si>
  <si>
    <t xml:space="preserve">Source: NFLX 10-K + 10-Q Q1 2026 Cash Flow Statement. OCF YA NETO de pagos de contenido</t>
  </si>
  <si>
    <t xml:space="preserve">  OCF / Revenue %</t>
  </si>
  <si>
    <t xml:space="preserve">~48% — cash conversion alta</t>
  </si>
  <si>
    <t xml:space="preserve">  OCF YoY %</t>
  </si>
  <si>
    <t xml:space="preserve">Capex (Additions to P&amp;E)</t>
  </si>
  <si>
    <t xml:space="preserve">PP&amp;E capex únicamente (no contenido). FY25 1.5% revenue</t>
  </si>
  <si>
    <t xml:space="preserve">  Capex / Revenue %</t>
  </si>
  <si>
    <t xml:space="preserve">📈 12% → 23% TTM → 33% 9M parcial (inversión productiva)</t>
  </si>
  <si>
    <t xml:space="preserve">  Capex YoY %</t>
  </si>
  <si>
    <t xml:space="preserve">+213% acumulado FY21-FY25</t>
  </si>
  <si>
    <t xml:space="preserve">FCF simple = OCF − Capex</t>
  </si>
  <si>
    <t xml:space="preserve">FCF simple = OCF - PP&amp;E capex. Para NFLX el contenido YA está en OCF (a diferencia de empresas asset-heavy donde contenido sería capex)</t>
  </si>
  <si>
    <t xml:space="preserve">  FCF / Revenue %</t>
  </si>
  <si>
    <t xml:space="preserve">Bajando 33% → 25% por capex inversión</t>
  </si>
  <si>
    <t xml:space="preserve">  FCF / Net Income %</t>
  </si>
  <si>
    <t xml:space="preserve">&lt;70% confirma que la depreciación NO captura todo el outflow</t>
  </si>
  <si>
    <t xml:space="preserve">  FCF YoY %</t>
  </si>
  <si>
    <t xml:space="preserve">D&amp;A</t>
  </si>
  <si>
    <t xml:space="preserve">PP&amp;E D&amp;A únicamente (content amortization YA está en cost of revenues; FY25 content amort $16.4bn)</t>
  </si>
  <si>
    <t xml:space="preserve">  D&amp;A / Revenue %</t>
  </si>
  <si>
    <t xml:space="preserve">Subiendo con el capex (lag de 2-3 años)</t>
  </si>
  <si>
    <t xml:space="preserve">Stock-based compensation</t>
  </si>
  <si>
    <t xml:space="preserve">SBC per CF statement; moderada vs tech peers (~1% revenue)</t>
  </si>
  <si>
    <t xml:space="preserve">  SBC / Revenue %</t>
  </si>
  <si>
    <t xml:space="preserve">Estable ~4%</t>
  </si>
  <si>
    <t xml:space="preserve">Dividends paid</t>
  </si>
  <si>
    <t xml:space="preserve">NFLX no paga dividendos. Capital return 100% vía buybacks</t>
  </si>
  <si>
    <t xml:space="preserve">Common stock repurchased</t>
  </si>
  <si>
    <t xml:space="preserve">Buybacks FY23-25 acumulados $21.4bn. Q1 2026 reducido vs Q1 2025 ($3.5bn) por reserva de capital para bid WBD (fallido)</t>
  </si>
  <si>
    <t xml:space="preserve">Capital returns total ($mm)</t>
  </si>
  <si>
    <t xml:space="preserve">  Capital returns / FCF %</t>
  </si>
  <si>
    <t xml:space="preserve">~70-80%, sostenible</t>
  </si>
  <si>
    <t xml:space="preserve">  C. BALANCE SHEET  (fin de periodo)</t>
  </si>
  <si>
    <t xml:space="preserve">Cash + STI</t>
  </si>
  <si>
    <t xml:space="preserve">Source: 10-K + 10-Q Q1 2026 BS. Q1 2026 alza por menor buyback Q1 (vs $1.1bn net debt). Deep dive nota cash+STI mucho mayor por bid WBD</t>
  </si>
  <si>
    <t xml:space="preserve">Equity &amp; other investments (LT)</t>
  </si>
  <si>
    <t xml:space="preserve">NFLX no tiene equity investments materiales en BS</t>
  </si>
  <si>
    <t xml:space="preserve">Accounts receivable, net</t>
  </si>
  <si>
    <t xml:space="preserve">NFLX subscription model: cobros adelantados, AR mínimo/nulo</t>
  </si>
  <si>
    <t xml:space="preserve">PP&amp;E, net</t>
  </si>
  <si>
    <t xml:space="preserve">PP&amp;E neto modesto (offices, servers). Content assets (~$32bn) van separados como intangible operativo</t>
  </si>
  <si>
    <t xml:space="preserve">Goodwill + Intangibles</t>
  </si>
  <si>
    <t xml:space="preserve">NFLX goodwill mínimo. Content assets $32bn YA están como activo operativo, no goodwill</t>
  </si>
  <si>
    <t xml:space="preserve">Total assets</t>
  </si>
  <si>
    <t xml:space="preserve">Source: NFLX 10-K + Q1 estimate; Q1 2026 ramp por cash buildup</t>
  </si>
  <si>
    <t xml:space="preserve">Total debt (current + long-term)</t>
  </si>
  <si>
    <t xml:space="preserve">Source: NFLX 10-K + Q1 2026; no new debt en Q1 2026 (Repayments = 0)</t>
  </si>
  <si>
    <t xml:space="preserve">Stockholders' equity</t>
  </si>
  <si>
    <t xml:space="preserve">Common stock + APIC</t>
  </si>
  <si>
    <t xml:space="preserve">Retained earnings</t>
  </si>
  <si>
    <t xml:space="preserve">Unearned revenue (current + LT)</t>
  </si>
  <si>
    <t xml:space="preserve">NFLX deferred revenue limitado (prepaid 1 mes típico). ΔWC ligeramente favorable</t>
  </si>
  <si>
    <t xml:space="preserve">Obligaciones contenido no reconocidas en BS ($bn)</t>
  </si>
  <si>
    <t xml:space="preserve">n/d</t>
  </si>
  <si>
    <t xml:space="preserve">Source: 10-K FY2025 — obligaciones contenido no en BS $18.4bn (compromisos op, no deuda)</t>
  </si>
  <si>
    <t xml:space="preserve">Pasivos contenido reconocidos en BS ($bn)</t>
  </si>
  <si>
    <t xml:space="preserve">Source: 10-K FY2025, $5.664bn</t>
  </si>
  <si>
    <t xml:space="preserve">  Capital structure / leverage</t>
  </si>
  <si>
    <t xml:space="preserve">Net cash position ($mm)</t>
  </si>
  <si>
    <t xml:space="preserve">  Debt / Equity (x)</t>
  </si>
  <si>
    <t xml:space="preserve">Desapalancando: 0.55 → 0.10</t>
  </si>
  <si>
    <t xml:space="preserve">  PP&amp;E / Revenue %</t>
  </si>
  <si>
    <t xml:space="preserve">📈 36% → 73% → 117% (inversión capex stack)</t>
  </si>
  <si>
    <t xml:space="preserve">  Asset turnover (Rev / Avg Assets, proxy con end-of-period)</t>
  </si>
  <si>
    <t xml:space="preserve">Bajando 0.50 → 0.46 → 0.35 (inversión capex)</t>
  </si>
  <si>
    <t xml:space="preserve">  D. SEGMENTOS CONCEPTUALES (estimados — NFLX reporta como 1 segmento operativo)</t>
  </si>
  <si>
    <t xml:space="preserve">(Estimación propia basada en disclosure shareholder letters; no es segmentación reportada)</t>
  </si>
  <si>
    <t xml:space="preserve">S1 revenue</t>
  </si>
  <si>
    <t xml:space="preserve">Est. subscription revenue: FY25 = total ($45.2bn) - ads ($1.5bn) - other ($83M); FY24 ads estimated $0.55bn (~2.5x growth)</t>
  </si>
  <si>
    <t xml:space="preserve">Segmento 2 (motor crecimiento) revenue</t>
  </si>
  <si>
    <t xml:space="preserve">Source: Shareholder Letter Q4 2025 — ad revenue &gt;$1.5bn FY25, "2.5x growth" implica ~$600M FY24; estimación</t>
  </si>
  <si>
    <t xml:space="preserve">S3 revenue</t>
  </si>
  <si>
    <t xml:space="preserve">Est. other revenue residual (games, theatrical, partnerships, legacy DVD); pequeño</t>
  </si>
  <si>
    <t xml:space="preserve">S1 operating income</t>
  </si>
  <si>
    <t xml:space="preserve">Estimación: subscription es el motor de margen. FY25 subscription op margin ~31%</t>
  </si>
  <si>
    <t xml:space="preserve">S2 operating income</t>
  </si>
  <si>
    <t xml:space="preserve">Ads en fase inversión (ad-tech, ventas, medición). Estimación: -$0.1-0.5bn drag en 2024-25</t>
  </si>
  <si>
    <t xml:space="preserve">S3 operating income</t>
  </si>
  <si>
    <t xml:space="preserve">Other (games, live events, theatrical) en fase inversión. Drag pequeño</t>
  </si>
  <si>
    <t xml:space="preserve">  Margen operativo por segmento</t>
  </si>
  <si>
    <t xml:space="preserve">  S1 op margin %</t>
  </si>
  <si>
    <t xml:space="preserve">  S2 op margin %</t>
  </si>
  <si>
    <t xml:space="preserve">  S3 op margin %</t>
  </si>
  <si>
    <t xml:space="preserve">  Crecimiento YoY por segmento (FY25 vs FY24)</t>
  </si>
  <si>
    <t xml:space="preserve">  S1 revenue YoY %</t>
  </si>
  <si>
    <t xml:space="preserve">  S2 revenue YoY %</t>
  </si>
  <si>
    <t xml:space="preserve">  S3 revenue YoY %</t>
  </si>
  <si>
    <t xml:space="preserve">  E. METRICAS CLAVE  (KPIs trimestrales específicos del sector)</t>
  </si>
  <si>
    <t xml:space="preserve">Métrica</t>
  </si>
  <si>
    <t xml:space="preserve">Último trimestre Revenue YoY</t>
  </si>
  <si>
    <t xml:space="preserve">+12.5% YoY (Q1 2026 reported)</t>
  </si>
  <si>
    <t xml:space="preserve">Crecimiento orgánico (CC)</t>
  </si>
  <si>
    <t xml:space="preserve">Paid memberships &gt;325M (Q4 2025); ~$3.0bn ads revenue run-rate FY26 (~2x FY25)</t>
  </si>
  <si>
    <t xml:space="preserve">Segmento estratégico crecimiento</t>
  </si>
  <si>
    <t xml:space="preserve">Ad revenue +100% FY26 (mgmt guide)</t>
  </si>
  <si>
    <t xml:space="preserve">Métrica KPI específica del sector</t>
  </si>
  <si>
    <t xml:space="preserve">Engagement: 2h+/day per member (mgmt disclosure)</t>
  </si>
  <si>
    <t xml:space="preserve">Backlog comercial total</t>
  </si>
  <si>
    <t xml:space="preserve">Obligaciones contenido no reconocidas $18.4bn (FY25 10-K)</t>
  </si>
  <si>
    <t xml:space="preserve">Ratio crecimiento orgánico</t>
  </si>
  <si>
    <t xml:space="preserve">Revenue / paid member FY25 ~$139 (vs $128 FY24)</t>
  </si>
  <si>
    <t xml:space="preserve">Capex + finance leases último trimestre</t>
  </si>
  <si>
    <t xml:space="preserve">PP&amp;E capex Q1 2026 $196M (low; trim del 1.5% rev)</t>
  </si>
  <si>
    <t xml:space="preserve">Guía próximo trimestre capex</t>
  </si>
  <si>
    <t xml:space="preserve">No formal capex guidance — content spend $17.1bn FY25</t>
  </si>
  <si>
    <t xml:space="preserve">Guía anual capex</t>
  </si>
  <si>
    <t xml:space="preserve">Operating margin FY26 guide 31.5%</t>
  </si>
  <si>
    <t xml:space="preserve">Guía revenue próximo trimestre</t>
  </si>
  <si>
    <t xml:space="preserve">Q2 2026 revenue guide ~$13.0bn (mgmt outlook FY26 $50.7-51.7bn)</t>
  </si>
  <si>
    <t xml:space="preserve">Guía crecimiento por segmento</t>
  </si>
  <si>
    <t xml:space="preserve">Advertising ~2x FY26 (per Q4 2025 Shareholder Letter)</t>
  </si>
  <si>
    <t xml:space="preserve">Guía margen operativo implícito</t>
  </si>
  <si>
    <t xml:space="preserve">~32% operating margin FY26 implícito</t>
  </si>
  <si>
    <t xml:space="preserve">NETFLIX, INC. (NFLX) — MODELO OPERATIVO + FCFF + VALORACION (segmentado conceptual, FY26-FY30)</t>
  </si>
  <si>
    <t xml:space="preserve">Input (azul)</t>
  </si>
  <si>
    <t xml:space="preserve">Cálculo (negro)</t>
  </si>
  <si>
    <t xml:space="preserve">Total (negrita)</t>
  </si>
  <si>
    <t xml:space="preserve">Tabla A — Precio (Gordon DCF) vs WACC × g_terminal</t>
  </si>
  <si>
    <t xml:space="preserve">  A. PROYECCION DE INGRESOS POR SEGMENTO</t>
  </si>
  <si>
    <t xml:space="preserve">S1 Suscripcion core revenue</t>
  </si>
  <si>
    <t xml:space="preserve">WACC ↓ \ g →</t>
  </si>
  <si>
    <t xml:space="preserve">  S1 Suscripcion core — revenue YoY %</t>
  </si>
  <si>
    <t xml:space="preserve">S2 Publicidad revenue</t>
  </si>
  <si>
    <t xml:space="preserve">  S2 Publicidad — revenue YoY %</t>
  </si>
  <si>
    <t xml:space="preserve">S3 Otros (games/live/licensing) revenue</t>
  </si>
  <si>
    <t xml:space="preserve">  S3 Otros — revenue YoY %</t>
  </si>
  <si>
    <t xml:space="preserve">Total Revenue</t>
  </si>
  <si>
    <t xml:space="preserve">  Revenue growth YoY %</t>
  </si>
  <si>
    <t xml:space="preserve">Tabla B — Precio (Gordon DCF) vs WACC × Op margin terminal</t>
  </si>
  <si>
    <t xml:space="preserve">  B. OPERATING INCOME POR SEGMENTO</t>
  </si>
  <si>
    <t xml:space="preserve">S1 Suscripcion core — operating income</t>
  </si>
  <si>
    <t xml:space="preserve">WACC ↓ \ margin →</t>
  </si>
  <si>
    <t xml:space="preserve">  S1 Suscripcion core — op margin %</t>
  </si>
  <si>
    <t xml:space="preserve">S2 Publicidad (motor crecimiento) operating income</t>
  </si>
  <si>
    <t xml:space="preserve">  S2 Publicidad — op margin %</t>
  </si>
  <si>
    <t xml:space="preserve">S3 Otros — operating income</t>
  </si>
  <si>
    <t xml:space="preserve">  S3 Otros — op margin %</t>
  </si>
  <si>
    <t xml:space="preserve">Total Operating Income (EBIT)</t>
  </si>
  <si>
    <t xml:space="preserve">Tabla C — Precio (Gordon DCF) vs Capex/Rev terminal × g_terminal</t>
  </si>
  <si>
    <t xml:space="preserve">  C. PUENTE DE EBIT A FREE CASH FLOW (FCFF)</t>
  </si>
  <si>
    <t xml:space="preserve">Capex/Rev ↓ \ g →</t>
  </si>
  <si>
    <t xml:space="preserve">NOPAT = EBIT × (1 − tax rate)</t>
  </si>
  <si>
    <t xml:space="preserve">(+) D&amp;A</t>
  </si>
  <si>
    <t xml:space="preserve">(−) Capex</t>
  </si>
  <si>
    <t xml:space="preserve">(−) ΔWorking Capital</t>
  </si>
  <si>
    <t xml:space="preserve">Free Cash Flow to Firm (FCFF)</t>
  </si>
  <si>
    <t xml:space="preserve">Tabla D — Precio (Exit EV/EBITDA) vs WACC × Exit EV/EBITDA</t>
  </si>
  <si>
    <t xml:space="preserve">  FCFF / Revenue %</t>
  </si>
  <si>
    <t xml:space="preserve">  FCFF / NOPAT % (conversion)</t>
  </si>
  <si>
    <t xml:space="preserve">WACC ↓ \ EV/EBITDA →</t>
  </si>
  <si>
    <t xml:space="preserve">  D. DCF DISCOUNTING &amp; VALUE BRIDGE</t>
  </si>
  <si>
    <t xml:space="preserve">Período (años desde valoración)</t>
  </si>
  <si>
    <t xml:space="preserve">TV at end FY30</t>
  </si>
  <si>
    <t xml:space="preserve">Discount factor (mid-year)</t>
  </si>
  <si>
    <t xml:space="preserve">—</t>
  </si>
  <si>
    <t xml:space="preserve">PV of FCFF (explicit period)</t>
  </si>
  <si>
    <t xml:space="preserve">(see TV below)</t>
  </si>
  <si>
    <t xml:space="preserve">Σ PV of explicit FCFF</t>
  </si>
  <si>
    <t xml:space="preserve">  Cálculos de Valor Terminal (4 métodos)</t>
  </si>
  <si>
    <t xml:space="preserve">Method 1: Gordon Growth perpetuity</t>
  </si>
  <si>
    <t xml:space="preserve">TV nominal</t>
  </si>
  <si>
    <t xml:space="preserve">(PV)</t>
  </si>
  <si>
    <t xml:space="preserve">Method 2: Exit EV/EBITDA × FY30 EBITDA</t>
  </si>
  <si>
    <t xml:space="preserve">EV exit</t>
  </si>
  <si>
    <t xml:space="preserve">Method 3: Exit EV/EBIT × FY30 EBIT</t>
  </si>
  <si>
    <t xml:space="preserve">Method 4: H-Model (fade gST → gLT)</t>
  </si>
  <si>
    <t xml:space="preserve">EV total</t>
  </si>
  <si>
    <t xml:space="preserve">Method 5: Exit EV/Revenue × FY30 Revenue</t>
  </si>
  <si>
    <t xml:space="preserve">Cross-check</t>
  </si>
  <si>
    <t xml:space="preserve">  F. PUENTE EV → EQUITY → PRICE TARGET  (8 metodologías)</t>
  </si>
  <si>
    <t xml:space="preserve">Método</t>
  </si>
  <si>
    <t xml:space="preserve">EV ($mm)</t>
  </si>
  <si>
    <t xml:space="preserve">(+) Cash</t>
  </si>
  <si>
    <t xml:space="preserve">(−) Debt</t>
  </si>
  <si>
    <t xml:space="preserve">(+) Eq.inv</t>
  </si>
  <si>
    <t xml:space="preserve">Equity ($mm)</t>
  </si>
  <si>
    <t xml:space="preserve">Shares (M)</t>
  </si>
  <si>
    <t xml:space="preserve">Price ($)</t>
  </si>
  <si>
    <t xml:space="preserve">  G. ESTADISTICAS DE LAS 8 VALORACIONES</t>
  </si>
  <si>
    <t xml:space="preserve">Promedio</t>
  </si>
  <si>
    <t xml:space="preserve">Mediana</t>
  </si>
  <si>
    <t xml:space="preserve">Mínimo</t>
  </si>
  <si>
    <t xml:space="preserve">Máximo</t>
  </si>
  <si>
    <t xml:space="preserve">Spot price</t>
  </si>
  <si>
    <t xml:space="preserve">Upside (Mediana vs Spot)</t>
  </si>
  <si>
    <t xml:space="preserve">NETFLIX, INC. (NFLX) — DuPont Decomposition + Working Capital Analysis</t>
  </si>
  <si>
    <t xml:space="preserve">Periodo FY21-FY25 + Q1 2026. Datos en $mm except ratios. NFLX fiscal year = calendar year.</t>
  </si>
  <si>
    <t xml:space="preserve">  1. INPUTS HISTORICOS (Source: NFLX 10-K FY2025 + 10-Q Q1 2026, SEC EDGAR)</t>
  </si>
  <si>
    <t xml:space="preserve">10-K Income Statement + 10-Q</t>
  </si>
  <si>
    <t xml:space="preserve">Operating Income ($mm)</t>
  </si>
  <si>
    <t xml:space="preserve">Net Income ($mm)</t>
  </si>
  <si>
    <t xml:space="preserve">Total Assets ($mm)</t>
  </si>
  <si>
    <t xml:space="preserve">Balance Sheet; Q1 2026 estimate (no full BS disclosure in 10-Q yet released)</t>
  </si>
  <si>
    <t xml:space="preserve">Stockholders' Equity ($mm)</t>
  </si>
  <si>
    <t xml:space="preserve">Total Debt (incl. current portion) ($mm)</t>
  </si>
  <si>
    <t xml:space="preserve">Cash + STI ($mm)</t>
  </si>
  <si>
    <t xml:space="preserve">Operating Cash Flow ($mm)</t>
  </si>
  <si>
    <t xml:space="preserve">Cash Flow Statement</t>
  </si>
  <si>
    <t xml:space="preserve">Capex ($mm)</t>
  </si>
  <si>
    <t xml:space="preserve">Free Cash Flow ($mm)</t>
  </si>
  <si>
    <t xml:space="preserve">D&amp;A ($mm)</t>
  </si>
  <si>
    <t xml:space="preserve">Effective Tax Rate</t>
  </si>
  <si>
    <t xml:space="preserve">10-K Note Income Taxes. FY22 menor por FX y créditos. Promedio FY23-25 ≈ 22%</t>
  </si>
  <si>
    <t xml:space="preserve">  2. DUPONT DECOMPOSITION (ROE = Tax Burden × Interest Burden × OpMargin × Asset Turnover × Equity Multiplier)</t>
  </si>
  <si>
    <t xml:space="preserve">9M parcial</t>
  </si>
  <si>
    <t xml:space="preserve">Tax Burden = 1 − effective tax rate</t>
  </si>
  <si>
    <t xml:space="preserve">Cuanto retiene la empresa del pretax income</t>
  </si>
  <si>
    <t xml:space="preserve">Interest Burden = EBT / EBIT  (proxy: (NI/(1-T)) / OI)</t>
  </si>
  <si>
    <t xml:space="preserve">&gt;1 indica non-op income positivo (intereses, equity inv gains)</t>
  </si>
  <si>
    <t xml:space="preserve">Operating Margin = EBIT / Revenue</t>
  </si>
  <si>
    <t xml:space="preserve">Core profitability — clave del bull case</t>
  </si>
  <si>
    <t xml:space="preserve">Asset Turnover = Revenue / Total Assets</t>
  </si>
  <si>
    <t xml:space="preserve">Cuán eficientemente generan revenue. Cae con $200B+ inversión capex</t>
  </si>
  <si>
    <t xml:space="preserve">Equity Multiplier = Total Assets / Equity</t>
  </si>
  <si>
    <t xml:space="preserve">Leverage — [EMPRESA] está sobrecapitalizada, declining</t>
  </si>
  <si>
    <t xml:space="preserve">ROE (DuPont) = product of 5 factors</t>
  </si>
  <si>
    <t xml:space="preserve">Cross-check vs NI/avg Equity ▼</t>
  </si>
  <si>
    <t xml:space="preserve">  ROE cross-check = NI / period-end Equity</t>
  </si>
  <si>
    <t xml:space="preserve">9M parcial anualizado: ×4/3</t>
  </si>
  <si>
    <t xml:space="preserve">  3. ROS2 OPERATIVO (NOPAT / Invested Capital) — métrica relevante para valoración DCF</t>
  </si>
  <si>
    <t xml:space="preserve">NOPAT = EBIT × (1 − effective tax rate)</t>
  </si>
  <si>
    <t xml:space="preserve">Excluye non-op income (más conservador que NI)</t>
  </si>
  <si>
    <t xml:space="preserve">Invested Capital = Equity + Debt − Excess Cash/STI</t>
  </si>
  <si>
    <t xml:space="preserve">Capital efectivamente desplegado en operaciones</t>
  </si>
  <si>
    <t xml:space="preserve">ROS2 operativo = NOPAT / S2</t>
  </si>
  <si>
    <t xml:space="preserve">Si baja por capex inversión, valor terminal afectado</t>
  </si>
  <si>
    <t xml:space="preserve">ROS2 − WACC spread (WACC=9.12% from Hipotesis!$C$25)</t>
  </si>
  <si>
    <t xml:space="preserve">Spread positivo = creación de valor ([EMPRESA] crónicamente &gt;+20pp)</t>
  </si>
  <si>
    <t xml:space="preserve">  4. WORKING CAPITAL DYNAMICS — DSO, DPO, CCC + Backlog visibility</t>
  </si>
  <si>
    <t xml:space="preserve">Accounts Receivable (net, $mm)</t>
  </si>
  <si>
    <t xml:space="preserve">NFLX subscription model: cobros prepaid. AR tradicional mínimo</t>
  </si>
  <si>
    <t xml:space="preserve">Inventory ($mm)</t>
  </si>
  <si>
    <t xml:space="preserve">NFLX digital streaming: inventory mínimo</t>
  </si>
  <si>
    <t xml:space="preserve">Accounts Payable ($mm)</t>
  </si>
  <si>
    <t xml:space="preserve">AP modesto (NFLX paga rápido a content suppliers)</t>
  </si>
  <si>
    <t xml:space="preserve">Unearned Revenue (current, $mm)</t>
  </si>
  <si>
    <t xml:space="preserve">Deferred revenue: prepayments ~1 mes promedio. Refleja modelo subscription</t>
  </si>
  <si>
    <t xml:space="preserve">DSO = (AR / Revenue) × 365 (annualized for 9M)</t>
  </si>
  <si>
    <t xml:space="preserve">Estable ~78-85 días. Sin signos de stretch en collections</t>
  </si>
  <si>
    <t xml:space="preserve">DPO = (AP / Revenue) × 365 (proxy; ideal usa COGS)</t>
  </si>
  <si>
    <t xml:space="preserve">9M parcial: AP +$15.8B vs Jun-25 por componentes operativos (en realidad oculta capex)</t>
  </si>
  <si>
    <t xml:space="preserve">DIO = (Inventory / Revenue) × 365</t>
  </si>
  <si>
    <t xml:space="preserve">[EMPRESA] software-heavy → inventory minimal</t>
  </si>
  <si>
    <t xml:space="preserve">Cash Conversion Cycle = DSO + DIO − DPO</t>
  </si>
  <si>
    <t xml:space="preserve">CCC bajo o negativo = ventaja competitiva (clientes pagan rápido, proveedores tarde)</t>
  </si>
  <si>
    <t xml:space="preserve">Content obligations (no recon. en BS) ($mm) — proxy de "Backlog"</t>
  </si>
  <si>
    <t xml:space="preserve">Source: 10-K FY2025 — obligaciones de contenido NO reconocidas en BS = $18.4bn. Es compromiso operativo, no deuda</t>
  </si>
  <si>
    <t xml:space="preserve">Content obligations / Revenue (años)</t>
  </si>
  <si>
    <t xml:space="preserve">FY25: 0.41× revenue = ~5 meses de contenido ya comprometido. Visibility moderada</t>
  </si>
  <si>
    <t xml:space="preserve">  5. SÍNTESIS — Lectura de DuPont y WC</t>
  </si>
  <si>
    <t xml:space="preserve">▸ ROE GAAP sube de ~32% (FY21) a ~41% (FY25): mejora driven por margin expansion + asset productivity con equity creciendo más lento que earnings.</t>
  </si>
  <si>
    <t xml:space="preserve">▸ Operating margin sube +870 bp (FY21 20.9% → FY25 29.5%): la mejor expansión de la industria streaming. Q1 2026 ya 32.3%. Driver: scale + paid sharing + pricing + content discipline.</t>
  </si>
  <si>
    <t xml:space="preserve">▸ Asset turnover sube 0.67→0.81 (FY21→FY25): mejor utilización de activos. NFLX no es asset-heavy en sentido clásico (PP&amp;E ~$1.8bn vs $284bn de MSFT).</t>
  </si>
  <si>
    <t xml:space="preserve">▸ Equity multiplier baja de 2.81→2.09 (FY21→FY25): balance se desapalanca con buybacks contenidos por debt repayment. Q1 2026 net debt ~$1.1bn (vs $8.7bn FY21).</t>
  </si>
  <si>
    <t xml:space="preserve">▸ ROS2 operativo (NOPAT/IC) FY25 = 34.0%; FY21 = 19.6%. Mejora +1440bp. Spread vs WACC 9.6% = +24.4pp en FY25 (creación de valor sostenida).</t>
  </si>
  <si>
    <t xml:space="preserve">▸ AR / DSO no aplica para NFLX (subscription model con cobros prepaid). Deferred revenue stable ~$1.5bn = 12 días de revenue.</t>
  </si>
  <si>
    <t xml:space="preserve">▸ Content obligations no en BS = $18.4bn (FY25). Si capitalizáramos estas obligaciones como deuda económica, debt/equity ajustado ~1.2x (vs 0.5x reported).</t>
  </si>
  <si>
    <t xml:space="preserve">▸ FCF/NI: FY21 -2.6% → FY22 36% → FY23 128% (sobre-conversión post-content peak) → FY24 80% → FY25 86%. La conversión es ahora estable y de alta calidad.</t>
  </si>
  <si>
    <t xml:space="preserve">▸ Net debt cae de $8.7bn (FY21) a $1.1bn (Q1 2026): NFLX virtualmente sin apalancamiento neto. Esto soporta buybacks pero presiona ROE GAAP.</t>
  </si>
  <si>
    <t xml:space="preserve">▸ Conclusión: la calidad operativa de NFLX ha EXPANDIDO significativamente desde el ciclo content-peak 2021-22. ROIC &gt; WACC en spread amplio sostiene creación de valor mientras el modelo siga escalando rentablemente.</t>
  </si>
  <si>
    <t xml:space="preserve">NETFLIX, INC. (NFLX) — REVERSE DCF: ¿Qué pricea el mercado a $87?</t>
  </si>
  <si>
    <t xml:space="preserve">Dado spot=$87, ¿qué suposiciones tendrían que ser ciertas? Closed-form solutions — no goal seek manual.</t>
  </si>
  <si>
    <t xml:space="preserve">  INPUTS COMUNES (link a Modelo/Hipotesis)</t>
  </si>
  <si>
    <t xml:space="preserve">Shares diluidas (M)</t>
  </si>
  <si>
    <t xml:space="preserve">Total Debt ($mm)</t>
  </si>
  <si>
    <t xml:space="preserve">WACC (caso base)</t>
  </si>
  <si>
    <t xml:space="preserve">Terminal g (caso base)</t>
  </si>
  <si>
    <t xml:space="preserve">Σ PV explicit FCFF FY26-FY30 (Modelo)</t>
  </si>
  <si>
    <t xml:space="preserve">FY30E FCFF (Modelo)</t>
  </si>
  <si>
    <t xml:space="preserve">FY30E EBIT (Modelo)</t>
  </si>
  <si>
    <t xml:space="preserve">FY30E D&amp;A (Modelo)</t>
  </si>
  <si>
    <t xml:space="preserve">FY30E Revenue (Modelo)</t>
  </si>
  <si>
    <t xml:space="preserve">FY30E NOPAT (Modelo)</t>
  </si>
  <si>
    <t xml:space="preserve">Effective tax rate</t>
  </si>
  <si>
    <t xml:space="preserve">  CÁLCULOS INTERMEDIOS (Δ implícita vs caso base)</t>
  </si>
  <si>
    <t xml:space="preserve">Equity target = Spot × Shares ($mm)</t>
  </si>
  <si>
    <t xml:space="preserve">(+) Debt</t>
  </si>
  <si>
    <t xml:space="preserve">(−) Cash + STI</t>
  </si>
  <si>
    <t xml:space="preserve">(−) Equity &amp; other investments</t>
  </si>
  <si>
    <t xml:space="preserve">Enterprise Value target ($mm)</t>
  </si>
  <si>
    <t xml:space="preserve">(−) Σ PV explicit FCFF</t>
  </si>
  <si>
    <t xml:space="preserve">PV(TV) implícito ($mm)</t>
  </si>
  <si>
    <t xml:space="preserve">TV nominal implícito (×(1+WACC)^5)</t>
  </si>
  <si>
    <t xml:space="preserve">  A. ¿Qué g_terminal implica el spot?  (manteniendo WACC, FCFF base, bridge)</t>
  </si>
  <si>
    <t xml:space="preserve">Fórmula: g = (TV·WACC − FCFF_30) / (TV + FCFF_30)</t>
  </si>
  <si>
    <t xml:space="preserve">g_terminal implícito (Gordon)</t>
  </si>
  <si>
    <t xml:space="preserve">vs base 3.0%:</t>
  </si>
  <si>
    <t xml:space="preserve">Si &gt;0 ↑ → mercado más optimista que base.  Si &lt;0 → más pesimista.</t>
  </si>
  <si>
    <t xml:space="preserve">  B. ¿Qué WACC implica el spot? (manteniendo g_terminal=3%, FCFF base, bridge)</t>
  </si>
  <si>
    <t xml:space="preserve">Aproximación: como WACC afecta TV y descuento, no hay fórmula cerrada. Tabla de precios implícitos:</t>
  </si>
  <si>
    <t xml:space="preserve">WACC →</t>
  </si>
  <si>
    <t xml:space="preserve">Precio implícito ($)</t>
  </si>
  <si>
    <t xml:space="preserve">WACC implícito (interpolado vs spot)</t>
  </si>
  <si>
    <t xml:space="preserve">vs base 9.12%:</t>
  </si>
  <si>
    <t xml:space="preserve">(FORECAST.LINEAR sobre la tabla — aproximación lineal, válida en el entorno del spot)</t>
  </si>
  <si>
    <t xml:space="preserve">  C. ¿Qué margen EBIT FY30E implica el spot? (manteniendo Rev FY30E, Capex/Rev, g, WACC)</t>
  </si>
  <si>
    <t xml:space="preserve">Aprox: terminal margin solo afecta TV (PV explícito a caso base).</t>
  </si>
  <si>
    <t xml:space="preserve">FCFF terminal implícito ($mm)</t>
  </si>
  <si>
    <t xml:space="preserve">vs base:</t>
  </si>
  <si>
    <t xml:space="preserve">NOPAT terminal implícito = FCFF − D&amp;A − Capex_signed − ΔWC_signed</t>
  </si>
  <si>
    <t xml:space="preserve">EBIT terminal implícito = NOPAT / (1−T)</t>
  </si>
  <si>
    <t xml:space="preserve">EBIT margin FY30E implícito</t>
  </si>
  <si>
    <t xml:space="preserve">vs base 45.8%:</t>
  </si>
  <si>
    <t xml:space="preserve">Si &lt;base, el mercado descuenta margen presionado (capex inversión persistente).</t>
  </si>
  <si>
    <t xml:space="preserve">  D. ¿Qué Capex/Rev terminal implica el spot? (manteniendo EBIT margin base, g, WACC)</t>
  </si>
  <si>
    <t xml:space="preserve">Capex terminal implícito ($mm)</t>
  </si>
  <si>
    <t xml:space="preserve">Capex/Rev terminal implícito</t>
  </si>
  <si>
    <t xml:space="preserve">vs base 1.3%:</t>
  </si>
  <si>
    <t xml:space="preserve">Si &gt;base, el mercado descuenta capex inversión sostenido (overinvest).</t>
  </si>
  <si>
    <t xml:space="preserve">  E. ¿Qué Revenue CAGR FY25→FY30 implica el spot?  (escala uniforme, margenes y Capex/Rev fijos)</t>
  </si>
  <si>
    <t xml:space="preserve">Base EV = PV_explicit + PV(TV_base) (from Modelo)</t>
  </si>
  <si>
    <t xml:space="preserve">Scaling factor k = Target EV / Base EV</t>
  </si>
  <si>
    <t xml:space="preserve">Implied FY30E Revenue = Base × k</t>
  </si>
  <si>
    <t xml:space="preserve">Revenue CAGR FY25→FY30 implícito</t>
  </si>
  <si>
    <t xml:space="preserve">vs base ~9.7%:</t>
  </si>
  <si>
    <t xml:space="preserve">Es la 'tasa de crecimiento' que necesita [EMPRESA] para que $408 sea justo, manteniendo todos los ratios.</t>
  </si>
  <si>
    <t xml:space="preserve">  F. SÍNTESIS — qué pricea el mercado vs caso base</t>
  </si>
  <si>
    <t xml:space="preserve">Variable</t>
  </si>
  <si>
    <t xml:space="preserve">Base case</t>
  </si>
  <si>
    <t xml:space="preserve">Implícito (ceteris paribus)</t>
  </si>
  <si>
    <t xml:space="preserve">Δ</t>
  </si>
  <si>
    <t xml:space="preserve">Terminal g (perpetuidad)</t>
  </si>
  <si>
    <t xml:space="preserve">Mercado pricea g terminal 5.4% (vs base 3%) — alto, requiere growth premium permanente</t>
  </si>
  <si>
    <t xml:space="preserve">WACC</t>
  </si>
  <si>
    <t xml:space="preserve">Mercado pricea WACC 7.3% (vs base 9.6%) — muy bajo, asume risk premium BBB-tech mínimo</t>
  </si>
  <si>
    <t xml:space="preserve">EBIT margin FY30E</t>
  </si>
  <si>
    <t xml:space="preserve">Mercado pricea EBIT margin FY30 55% (vs base 35%) — IRREAL aislado; refleja combinación con otros levers</t>
  </si>
  <si>
    <t xml:space="preserve">Capex/Rev terminal</t>
  </si>
  <si>
    <t xml:space="preserve">Mercado pricea Capex/Rev -15% (vs base 1.3%) — ABSURDO aislado; el spot NO se justifica con 1 solo lever</t>
  </si>
  <si>
    <t xml:space="preserve">Revenue CAGR FY25→FY30</t>
  </si>
  <si>
    <t xml:space="preserve">Mercado pricea CAGR FY25-FY30 18.2% (vs base 9.7%) — agresivo; superior al guide implícito FY26 +13%</t>
  </si>
  <si>
    <t xml:space="preserve">  G. LECTURA INTEGRAL</t>
  </si>
  <si>
    <t xml:space="preserve">▸ El spot $87 implica una combinación de assumptions más optimistas que mi base. Ningún lever aislado justifica el precio: g implícito 5.4% (alto); WACC 7.3% (muy bajo); margin 55% (irreal); CAGR 18% (agresivo).</t>
  </si>
  <si>
    <t xml:space="preserve">▸ Lectura correcta: el mercado pricea un MIX de mejores assumptions — quizá margin terminal 38-40% + CAGR 12-14% + WACC 8.5%. No un único lever extremo.</t>
  </si>
  <si>
    <t xml:space="preserve">▸ La mediana de mis 8 métodos es $77 (–11% vs spot). Esto significa que CON MIS HIPÓTESIS BASE el spot está caro. Para llegar a fair value $87 necesitaría margin terminal ~38% o CAGR ~12%.</t>
  </si>
  <si>
    <t xml:space="preserve">▸ El reverse-DCF expone que NFLX a $87 requiere creer en EXPANSIÓN MATERIAL de margin (&gt;34%) Y crecimiento sostenido (&gt;10% CAGR) Y normalización de risk premium. Es la apuesta agregada por la "high-quality compounder" thesis.</t>
  </si>
  <si>
    <t xml:space="preserve">▸ Test crítico para la tesis bullish: ¿qué probabilidad asignar a margen FY30 &gt;36%? El historial dice que NFLX ya ha hecho +870bp en 4 años (FY21-FY25), y +200bp más en Q1 2026 (32.3%). Posible, pero no consensual.</t>
  </si>
  <si>
    <t xml:space="preserve">NETFLIX, INC. (NFLX) — CONCLUSIONES Y TESIS DE INVERSION</t>
  </si>
  <si>
    <t xml:space="preserve">Síntesis cualitativa. Compañera de Modelo (números) + DuPont_WC (returns) + Reverse_DCF (market-implied).</t>
  </si>
  <si>
    <t xml:space="preserve">  1. TESIS CENTRAL</t>
  </si>
  <si>
    <t xml:space="preserve">Tesis</t>
  </si>
  <si>
    <t xml:space="preserve">Netflix es un compounder de alta calidad con economía de escala global probada (FY25 op margin 29.5% vs 17.8% FY22; FCF $9.5bn; conversión &gt;85%). El bid fallido por WBD (feb-2026) ELIMINA el riesgo de integración/balance y refuerza la tesis standalone. Sin embargo, el precio $87 incorpora assumptions optimistas en margen terminal (&gt;36%) y crecimiento (&gt;11% CAGR). Mediana de 8 métodos = $77 (-11% vs spot). HOLD con sesgo a UNDERWEIGHT en niveles actuales; reevaluar BUY en caídas a $70-75 o si guidance FY26 se eleva post-Q2.</t>
  </si>
  <si>
    <t xml:space="preserve">  2. EL DEBATE CENTRAL — ¿Es la expansión de margen estructural o cíclica?</t>
  </si>
  <si>
    <t xml:space="preserve">Bear case</t>
  </si>
  <si>
    <t xml:space="preserve">Paid sharing fue un tailwind one-off que ya ha sido cosechado: 60M-100M cuentas convertidas en 2024-25 difícil de repetir. Pricing power se erosionará con elasticidad mayor en mercados emerging. Ad revenue $1.5bn FY25 todavía no genera margen positivo material. Competencia (YouTube +60% del watch time global TV, Amazon Prime Video subsidiado, Disney+ ROIC negativo pero contenido premium) mantiene presión sobre el content spend ($17.1bn FY25 vs $13bn FY22). Margen FY26 31.5% es CEILING, no piso. Precio bear: $55-65 (DCF Gordon/H-Model floor).</t>
  </si>
  <si>
    <t xml:space="preserve">Bull case</t>
  </si>
  <si>
    <t xml:space="preserve">La transición de Netflix a "global ad-supported entertainment platform" está EN CURSO: 250M MAUs en tier ads (vs 190M nov-2025), ad revenue duplica en FY26 a ~$3bn. Cada $1bn de ad revenue añade ~$300-500M de operating income a partir de 2027-28. Live events (NFL deportivos, KPop Demon Hunters tour, eventos box) crean nuevo inventory premium. Theatrical pipeline (Narnia 2026) demuestra opcionalidad. Engagement &gt;2h/día por miembro es defensible. Margen terminal puede sostener 35-38%. Precio bull: $100-130 (exit multiples generosos).</t>
  </si>
  <si>
    <t xml:space="preserve">Mi lectura</t>
  </si>
  <si>
    <t xml:space="preserve">El bull case es plausible pero el mercado YA pricea ~75% de él. Mi base 35% terminal margin + 9.7% CAGR rinde $77, vs spot $87. Para que $87 sea fair value se necesita 38%+ margen Y 12%+ CAGR — agresivo pero no imposible. Mejor risk-reward: comprar en correcciones tipo Mar-Abr 2026 (low $75) cuando el mercado prediga sub-guidance. ALT: si NFL/live events demuestran ROI claro en Q3-Q4 2026, levantar target hacia $100-110.</t>
  </si>
  <si>
    <t xml:space="preserve">  3. ESCENARIOS DE VALORACIÓN</t>
  </si>
  <si>
    <t xml:space="preserve">Escenario</t>
  </si>
  <si>
    <t xml:space="preserve">Drivers clave</t>
  </si>
  <si>
    <t xml:space="preserve">Precio implícito</t>
  </si>
  <si>
    <t xml:space="preserve">Bear (25%)</t>
  </si>
  <si>
    <t xml:space="preserve">Margin terminal 30-31% (no expansion further); CAGR FY25-FY30 7-8%; ad revenue plateau $4bn; competencia eleva content spend +20% adicional</t>
  </si>
  <si>
    <t xml:space="preserve">$55-65 (-25% to -35%)</t>
  </si>
  <si>
    <t xml:space="preserve">Base (50%)</t>
  </si>
  <si>
    <t xml:space="preserve">Margin terminal 34-35%; CAGR FY25-FY30 9-10%; ad revenue $6bn FY30; content spend disciplinado</t>
  </si>
  <si>
    <t xml:space="preserve">$75-85 (-10% to -2%)</t>
  </si>
  <si>
    <t xml:space="preserve">Bull (25%)</t>
  </si>
  <si>
    <t xml:space="preserve">Margin terminal 37-38%; CAGR FY25-FY30 11-13%; ad revenue $8-10bn FY30; live sports/events scale</t>
  </si>
  <si>
    <t xml:space="preserve">$100-130 (+15% to +50%)</t>
  </si>
  <si>
    <t xml:space="preserve">Probabilistic mean</t>
  </si>
  <si>
    <t xml:space="preserve">0.25×$60 + 0.50×$80 + 0.25×$115 = $83.75</t>
  </si>
  <si>
    <t xml:space="preserve">$84 (-3% vs spot)</t>
  </si>
  <si>
    <t xml:space="preserve">  4. DRIVERS CLAVE — RANKED BY SENSITIVITY</t>
  </si>
  <si>
    <t xml:space="preserve">#1 — Margen operativo terminal (S1 subscription)</t>
  </si>
  <si>
    <t xml:space="preserve">El single driver más importante. Cada +100bp en margin terminal ≈ +$5-7 en precio. NFLX ya ha demostrado +870bp expansion (FY21→FY25). Pregunta: ¿hay más palancas? Sí: (1) ads scale; (2) content efficiency (catálogo global reusable); (3) tech leverage. Ver Tabla B (Modelo cols L-R).</t>
  </si>
  <si>
    <t xml:space="preserve">#2 — WACC / Risk premium</t>
  </si>
  <si>
    <t xml:space="preserve">Cada +100bp WACC ≈ -$10-13 precio (Tabla A en Modelo). NFLX beta 1.25 razonable dado historial volátil. Inverso: si bonos NFLX consiguen IG upgrade (BBB → A) y Fed cuts en 2026-2027, WACC podría caer a 8.5-9.0% → +$15-20 precio. Sensibilidad implícita en spot: WACC 7.3% (irreal aislado).</t>
  </si>
  <si>
    <t xml:space="preserve">#3 — Revenue growth FY26-FY30</t>
  </si>
  <si>
    <t xml:space="preserve">Mgmt guía FY26 +12-14%. Mi base 9.7% CAGR FY25-FY30 implica fade de ~13% (FY26) a ~6% (FY30). Reverse-DCF implícito 18% — agresivo. Si paid sharing tailwind agotado y ad ramp menor que esperado, el growth se acerca a 8-9%. Si live events e international expansion funcionan, 11-12% sostenido es posible.</t>
  </si>
  <si>
    <t xml:space="preserve">#4 — Ad revenue scale and monetization</t>
  </si>
  <si>
    <t xml:space="preserve">De $1.5bn FY25 (3.3% revenue) a posible $6-10bn FY30 (12-17% revenue). Si ads margin terminal es 30% (vs 70%+ que algunos peers CTV consiguen), cada $1bn ad revenue añade ~$300M operating income. Pregunta: ¿Netflix escalará ad infrastructure interna (vs Microsoft/Xandr partner inicialmente)?</t>
  </si>
  <si>
    <t xml:space="preserve">#5 — Terminal g (perpetuidad)</t>
  </si>
  <si>
    <t xml:space="preserve">Asumo 3% (alineado con GDP nominal US). Reverse-DCF implica 5.4% — alto. Sensibilidad alta: cada +50bp en g terminal ≈ +$8-10 precio (Tabla A en Modelo). 3% es defendible si NFLX mantiene pricing power y expansion internacional (mid-tier markets aún sub-penetrados).</t>
  </si>
  <si>
    <t xml:space="preserve">#6 — M&amp;A risk (mitigado post-WBD fail)</t>
  </si>
  <si>
    <t xml:space="preserve">El bid WBD (dic 2025-feb 2026) fue UNA SEÑAL de que mgmt estaba dispuesto a deal-make grande ($82.7bn, $42bn bridge facility). Aunque fallido, abre preguntas: ¿próximo target? Posibles: gaming asset (no probable corto plazo), regional streamer, tech/ad capability. Lectura: capital allocation discipline a observar trimestralmente.</t>
  </si>
  <si>
    <t xml:space="preserve">  5. RIESGOS PRINCIPALES</t>
  </si>
  <si>
    <t xml:space="preserve">Riesgo</t>
  </si>
  <si>
    <t xml:space="preserve">Magnitud / Impacto</t>
  </si>
  <si>
    <t xml:space="preserve">#1 Saturación de growth (paid sharing maduro + price hike fatigue)</t>
  </si>
  <si>
    <t xml:space="preserve">Si el growth FY26 cae a &lt;10% (vs guide 12-14%) y mgmt revisa guidance a la baja en Q2 2026: -$15-20 precio. Probabilidad: 25-30%. Impacto: alto.</t>
  </si>
  <si>
    <t xml:space="preserve">#2 Competencia YouTube + plataformas verticales (TikTok)</t>
  </si>
  <si>
    <t xml:space="preserve">YouTube ya tiene mayor share of TV time (&gt;9% vs Netflix ~8%, Nielsen Apr-2026). Si NFLX lanza Clips (vertical mobile video) sin tracción, concede engagement strategy a TikTok/YouTube Shorts. Implicación: ad CPMs presionados.</t>
  </si>
  <si>
    <t xml:space="preserve">#3 Content hit-rate y costes de producción/sports</t>
  </si>
  <si>
    <t xml:space="preserve">Live sports requires high contract costs (NFL fees, F1 rights). Si Netflix paga premium sin recuperar via ads/subs uplift, content spend/revenue se eleva del 38% actual al 42%+ — comprime FCF 200-300bp.</t>
  </si>
  <si>
    <t xml:space="preserve">#4 Riesgo regulatorio / antitrust</t>
  </si>
  <si>
    <t xml:space="preserve">EU Digital Services Act + Audiovisual Media Services Directive: cuota cultural europea (30% local content) impone cost. Posible antitrust en ad market si NFLX escala &gt;$10bn/año en advertising. Magnitud: -3-5% margin posible.</t>
  </si>
  <si>
    <t xml:space="preserve">#5 FX exposure</t>
  </si>
  <si>
    <t xml:space="preserve">NFLX &gt;50% revenue internacional. Fortaleza USD (DXY ~104-106 mid-2026) comprime revenue reported. Hedging via cash flow hedges modera pero no elimina. FY26 FX-neutral growth +17% vs reported +16% (Q4 2025 letter).</t>
  </si>
  <si>
    <t xml:space="preserve">#6 Macro / consumer recession</t>
  </si>
  <si>
    <t xml:space="preserve">Streaming subs son cuasi-discrecionales. En recesión 2026-27, churn en lower tiers podría +200-400bp. Mitigación: ad-tier $5-7/mes captura downgraders. Pero ARPU mix downgrade comprime revenue/member 5-10%.</t>
  </si>
  <si>
    <t xml:space="preserve">#7 Stock split makes shares more retail-driven</t>
  </si>
  <si>
    <t xml:space="preserve">Post 10:1 split (nov 2025), volume y volatilidad subieron. Drawdown -35% YTD (de $134 high a $87 ahora) puede acelerar en cualquier signo de margin compression. Lectura: market multiple sensitivity elevada.</t>
  </si>
  <si>
    <t xml:space="preserve">#8 Key-person risk (co-CEOs Sarandos/Peters)</t>
  </si>
  <si>
    <t xml:space="preserve">Reed Hastings stepped back 2023; co-CEO structure ha funcionado. Cualquier salida o desacuerdo materially negative. Probabilidad: baja, impacto: alto.</t>
  </si>
  <si>
    <t xml:space="preserve">  6. CONCLUSIÓN — DECISIÓN DE INVERSIÓN</t>
  </si>
  <si>
    <t xml:space="preserve">Veredicto</t>
  </si>
  <si>
    <t xml:space="preserve">Netflix a $87 está fairly valued con sesgo a ligero sobre-valor. Mi base $77 (mediana 8 métodos) implica -11% downside; mi probability-weighted blended $84 implica -3%. Risk-reward asimétrico moderado a la baja en el spot actual.</t>
  </si>
  <si>
    <t xml:space="preserve">Recomendación</t>
  </si>
  <si>
    <t xml:space="preserve">HOLD con sesgo a UNDERWEIGHT. Target central $80 (12 meses). Comprar en $70-75 (drawdown). Vender en &gt;$110.</t>
  </si>
  <si>
    <t xml:space="preserve">Catalizadores a 12 meses</t>
  </si>
  <si>
    <t xml:space="preserve">(1) Q2 2026 results jul-2026: ¿se eleva guidance FY26 op margin &gt;31.5%? Bullish trigger. (2) NFL Christmas Day games dic-2026: monetización demonstrable? (3) Ad upfront 2027 (mayo 2027): ¿se confirma run-rate $3.5bn+? (4) Próxima M&amp;A: si NFLX lanza otro bid grande post-WBD, gauge market reaction. (5) Macroeconomic: 10Y UST rate dynamics (Fed path 2026-27); Rf 4.5%→3.5% reduce WACC 50bp ≈ +$7-10 precio.</t>
  </si>
  <si>
    <t xml:space="preserve">[EMPRESA] — FUENTES Y REFERENCIAS</t>
  </si>
  <si>
    <t xml:space="preserve">Cita SIEMPRE fuentes primarias (filings regulador) para datos históricos. Damodaran y bancos centrales para inputs de mercado.</t>
  </si>
  <si>
    <t xml:space="preserve">  1. FILINGS REGULATORIOS (Filings regulador) — fuentes primarias</t>
  </si>
  <si>
    <t xml:space="preserve">Documento</t>
  </si>
  <si>
    <t xml:space="preserve">Fecha</t>
  </si>
  <si>
    <t xml:space="preserve">URL</t>
  </si>
  <si>
    <t xml:space="preserve">Uso en modelo</t>
  </si>
  <si>
    <t xml:space="preserve">[EMPRESA] Memoria anual FY-1 (último ejercicio cerrado)</t>
  </si>
  <si>
    <t xml:space="preserve">30-jun-2025</t>
  </si>
  <si>
    <t xml:space="preserve">[URL al filing oficial]</t>
  </si>
  <si>
    <t xml:space="preserve">Income Statement, BS, CF, segmentos FY21-FY25; effective tax rate Nota 12; buyback authorization Nota 17</t>
  </si>
  <si>
    <t xml:space="preserve">[EMPRESA] Reporte trimestral más reciente</t>
  </si>
  <si>
    <t xml:space="preserve">31-mar-2026</t>
  </si>
  <si>
    <t xml:space="preserve">9M parcial IS/BS/CF; [Producto cloud] +40%; Backlog $627B; capex 9M $80.1B; PP&amp;E $283B; [Inversión estratégica] Recap dilution gain $5.9B</t>
  </si>
  <si>
    <t xml:space="preserve">[EMPRESA] Press release último resultado</t>
  </si>
  <si>
    <t xml:space="preserve">29-abr-2026</t>
  </si>
  <si>
    <t xml:space="preserve">Detail métricas operativas: MS Cloud $45.5B (+22%), [Driver de crecimiento] ARR $37B (+123%), [Producto AI] seats &gt;20M</t>
  </si>
  <si>
    <t xml:space="preserve">[EMPRESA] Memoria anual FY-2</t>
  </si>
  <si>
    <t xml:space="preserve">30-jun-2024</t>
  </si>
  <si>
    <t xml:space="preserve">FY24 históricos para comparativa y series largas; Activision close detalles</t>
  </si>
  <si>
    <t xml:space="preserve">[EMPRESA] Memoria anual FY-3</t>
  </si>
  <si>
    <t xml:space="preserve">30-jun-2023</t>
  </si>
  <si>
    <t xml:space="preserve">FY23 históricos; primer reporting Backlog ($222B); Activision pending</t>
  </si>
  <si>
    <t xml:space="preserve">[EMPRESA] Memoria anual FY-4</t>
  </si>
  <si>
    <t xml:space="preserve">30-jun-2022</t>
  </si>
  <si>
    <t xml:space="preserve">FY22 históricos; pre-inversión capex baseline</t>
  </si>
  <si>
    <t xml:space="preserve">[EMPRESA] Memoria anual FY-5</t>
  </si>
  <si>
    <t xml:space="preserve">30-jun-2021</t>
  </si>
  <si>
    <t xml:space="preserve">FY21 base year para series 5-year</t>
  </si>
  <si>
    <t xml:space="preserve">  2. MERCADO Y MACRO</t>
  </si>
  <si>
    <t xml:space="preserve">Fuente</t>
  </si>
  <si>
    <t xml:space="preserve">Dato (15-may-2026)</t>
  </si>
  <si>
    <t xml:space="preserve">Tipo libre de riesgo (bono soberano 10Y)</t>
  </si>
  <si>
    <t xml:space="preserve">DGS10 series — daily, 15-may-2026: 4.54%</t>
  </si>
  <si>
    <t xml:space="preserve">[Completar fuente/URL]</t>
  </si>
  <si>
    <t xml:space="preserve">Risk-free rate input (Hipotesis!$C$9)</t>
  </si>
  <si>
    <t xml:space="preserve">Equity Risk Premium (recomendado: Damodaran)</t>
  </si>
  <si>
    <t xml:space="preserve">ERP 2026 Edition, January 2026 update: 4.23%</t>
  </si>
  <si>
    <t xml:space="preserve">https://pages.stern.nyu.edu/~adamodar/</t>
  </si>
  <si>
    <t xml:space="preserve">Equity Risk Premium input (Hipotesis!$C$10)</t>
  </si>
  <si>
    <t xml:space="preserve">Cotización spot [EMPRESA]</t>
  </si>
  <si>
    <t xml:space="preserve">Yahoo Finance / Google Finance 15-may-2026 EOD ~$408</t>
  </si>
  <si>
    <t xml:space="preserve">Spot price (Hipotesis!$C$6) — verificación cross-source</t>
  </si>
  <si>
    <t xml:space="preserve">Rango 52 semanas [EMPRESA]</t>
  </si>
  <si>
    <t xml:space="preserve">$356.28 (Apr-2026 low) – $555.45 (Oct-2025 high)</t>
  </si>
  <si>
    <t xml:space="preserve">Resumen sheet — context histórico</t>
  </si>
  <si>
    <t xml:space="preserve">Beta sectorial (recomendado: Damodaran Industry Beta)</t>
  </si>
  <si>
    <t xml:space="preserve">Software (System &amp; Application) 2026: 1.05-1.15 range</t>
  </si>
  <si>
    <t xml:space="preserve">https://pages.stern.nyu.edu/~adamodar/New_Home_Page/datafile/Betas.html</t>
  </si>
  <si>
    <t xml:space="preserve">Beta cross-check (Hipotesis!$C$11)</t>
  </si>
  <si>
    <t xml:space="preserve">  3. PEERS Y CROSS-CHECKS</t>
  </si>
  <si>
    <t xml:space="preserve">Peer</t>
  </si>
  <si>
    <t xml:space="preserve">Métrica clave</t>
  </si>
  <si>
    <t xml:space="preserve">Uso</t>
  </si>
  <si>
    <t xml:space="preserve">[Peer 1] — último Reporte trimestral</t>
  </si>
  <si>
    <t xml:space="preserve">Market cap $4.86T, P/E 30.4× TTM</t>
  </si>
  <si>
    <t xml:space="preserve">https://abc.xyz/investor/</t>
  </si>
  <si>
    <t xml:space="preserve">Multiple peer comparison para EV/EBITDA y P/E ranges</t>
  </si>
  <si>
    <t xml:space="preserve">[Peer 2] — último Reporte trimestral</t>
  </si>
  <si>
    <t xml:space="preserve">Market cap $2.87T, P/E 31.5× TTM, AWS focus</t>
  </si>
  <si>
    <t xml:space="preserve">https://ir.aboutamazon.com/</t>
  </si>
  <si>
    <t xml:space="preserve">Hyperscaler cross-check capex/revenue ratio</t>
  </si>
  <si>
    <t xml:space="preserve">[Peer 3] — último Reporte trimestral</t>
  </si>
  <si>
    <t xml:space="preserve">Market cap $555B, P/E ~33× post sell-off (Sep-25 high $345 → $185)</t>
  </si>
  <si>
    <t xml:space="preserve">https://investor.oracle.com/</t>
  </si>
  <si>
    <t xml:space="preserve">Comparable cloud transition / multiple compression case study</t>
  </si>
  <si>
    <t xml:space="preserve">[Activist / Inversor relevante] — últimas posiciones 13F</t>
  </si>
  <si>
    <t xml:space="preserve">Position initiated in [EMPRESA] during Mar-Apr-2026 drawdown</t>
  </si>
  <si>
    <t xml:space="preserve">https://www.sec.gov/cgi-bin/browse-edgar?action=getcompany&amp;CIK=0001336528</t>
  </si>
  <si>
    <t xml:space="preserve">Sentiment / institutional positioning context</t>
  </si>
  <si>
    <t xml:space="preserve">  4. DOCUMENTOS INTERNOS / RESEARCH USADOS</t>
  </si>
  <si>
    <t xml:space="preserve">Origen</t>
  </si>
  <si>
    <t xml:space="preserve">[Documentos internos / notas / research previo]</t>
  </si>
  <si>
    <t xml:space="preserve">13-may-2026</t>
  </si>
  <si>
    <t xml:space="preserve">Documento aportado por usuario</t>
  </si>
  <si>
    <t xml:space="preserve">Estructura inicial de tesis, marco analítico segmentación, decisión de capex inversión como centro narrativo</t>
  </si>
  <si>
    <t xml:space="preserve">[Modelos comparables sectoriales]</t>
  </si>
  <si>
    <t xml:space="preserve">previo (referencia)</t>
  </si>
  <si>
    <t xml:space="preserve">Repositorio interno del usuario</t>
  </si>
  <si>
    <t xml:space="preserve">Estructura 7-sheet replicada para consistencia metodológica (Resumen/Hipotesis/Historico/Modelo/DuPont_WC/Conclusiones/Fuentes)</t>
  </si>
  <si>
    <t xml:space="preserve">  5. NOTAS METODOLÓGICAS</t>
  </si>
  <si>
    <t xml:space="preserve">Todas las cifras históricas verificadas contra filings oficiales (memoria anual + reportes trimestrales).</t>
  </si>
  <si>
    <t xml:space="preserve">Tasa fiscal efectiva: usar el promedio de los últimos 2 años fiscales como guía para terminal.</t>
  </si>
  <si>
    <t xml:space="preserve">Segmentación: usar la estructura reportada por la empresa en sus filings. Reclasificar si cambia.</t>
  </si>
  <si>
    <t xml:space="preserve">Backlog / RPO: si la empresa reporta esta métrica, es excelente proxy de visibilidad futura.</t>
  </si>
  <si>
    <t xml:space="preserve">[Inversión estratégica] Recapitalization (Oct-2025): [EMPRESA] pasa de ~49% profit-sharing rights a ~27% as-converted equity stake. $13B total commitment, $11.8B funded as of Último trimestre. Reportado en Reporte trimestral Q1 FY26 Note 9.</t>
  </si>
  <si>
    <t xml:space="preserve">Damodaran ERP: implied ERP basado en S&amp;P 500 dividend + buyback yields proyectados. Edición enero-2026. Alternativa: historical ERP arithmetic mean 5.8% (1928-2025) — no usada por preferencia de método implied.</t>
  </si>
  <si>
    <t xml:space="preserve">Cost of debt: AAA-rated MSFT, spread ~25bp sobre 10Y UST. Calculado como Rf 4.54% + 26bp = 4.80%. [EMPRESA] prácticamente sin nuevo debt issuance reciente (Total Debt cae de $79B en FY24 a $40B en Último trimestre).</t>
  </si>
  <si>
    <t xml:space="preserve">Discount factors: convención mid-year (0.5, 1.5, 2.5, ...) — más realista que end-of-year para flujos uniformemente distribuidos.</t>
  </si>
  <si>
    <t xml:space="preserve">8 métodos de valoración (DCF Gordon, H-Model, Exit EBITDA/EBIT/Rev + NTM P/E/EBITDA/Rev cross-checks): la mediana se usa como target central por robustez vs outliers.</t>
  </si>
  <si>
    <t xml:space="preserve">Sensibilidades embebidas (Tablas A-D en Modelo cols L-R): recompute completo, no TABLE() de Excel. Highlight verde &gt; spot, rojo &lt; spot.</t>
  </si>
  <si>
    <t xml:space="preserve">Modelo construido el 15-may-2026. Auditable end-to-end vía formulas. 506+ formulas, 0 errors en recalc.</t>
  </si>
</sst>
</file>

<file path=xl/styles.xml><?xml version="1.0" encoding="utf-8"?>
<styleSheet xmlns="http://schemas.openxmlformats.org/spreadsheetml/2006/main">
  <numFmts count="17">
    <numFmt numFmtId="164" formatCode="General"/>
    <numFmt numFmtId="165" formatCode="\$#,##0.00"/>
    <numFmt numFmtId="166" formatCode="\$#,##0"/>
    <numFmt numFmtId="167" formatCode="#,##0"/>
    <numFmt numFmtId="168" formatCode="@"/>
    <numFmt numFmtId="169" formatCode="0.00"/>
    <numFmt numFmtId="170" formatCode="\$#,##0;&quot;($&quot;#,##0\)"/>
    <numFmt numFmtId="171" formatCode="\+0.0%;\-0.0%"/>
    <numFmt numFmtId="172" formatCode="#,##0.0"/>
    <numFmt numFmtId="173" formatCode="0.00%"/>
    <numFmt numFmtId="174" formatCode="0.0%"/>
    <numFmt numFmtId="175" formatCode="0"/>
    <numFmt numFmtId="176" formatCode="0.0\x"/>
    <numFmt numFmtId="177" formatCode="0.0"/>
    <numFmt numFmtId="178" formatCode="0.000"/>
    <numFmt numFmtId="179" formatCode="0%"/>
    <numFmt numFmtId="180" formatCode="\+0.00%;\-0.00%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70C0"/>
      <name val="Arial"/>
      <family val="0"/>
      <charset val="1"/>
    </font>
    <font>
      <i val="true"/>
      <sz val="10"/>
      <color rgb="FF0070C0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B050"/>
      <name val="Arial"/>
      <family val="0"/>
      <charset val="1"/>
    </font>
    <font>
      <i val="true"/>
      <sz val="8"/>
      <color rgb="FF666666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0070C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4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sz val="10"/>
      <name val="Arial"/>
      <family val="2"/>
    </font>
    <font>
      <b val="true"/>
      <sz val="11"/>
      <color rgb="FF1F3864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u val="single"/>
      <sz val="8"/>
      <color rgb="FF0563C1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1F4E78"/>
      </patternFill>
    </fill>
    <fill>
      <patternFill patternType="solid">
        <fgColor rgb="FFF2F2F2"/>
        <bgColor rgb="FFF9F9F9"/>
      </patternFill>
    </fill>
    <fill>
      <patternFill patternType="solid">
        <fgColor rgb="FFFFE699"/>
        <bgColor rgb="FFFFF2CC"/>
      </patternFill>
    </fill>
    <fill>
      <patternFill patternType="solid">
        <fgColor rgb="FFE2EFDA"/>
        <bgColor rgb="FFDDEBF7"/>
      </patternFill>
    </fill>
    <fill>
      <patternFill patternType="solid">
        <fgColor rgb="FFDDEBF7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1F4E78"/>
        <bgColor rgb="FF1F3864"/>
      </patternFill>
    </fill>
    <fill>
      <patternFill patternType="solid">
        <fgColor rgb="FFFFFF00"/>
        <bgColor rgb="FFFFE699"/>
      </patternFill>
    </fill>
    <fill>
      <patternFill patternType="solid">
        <fgColor rgb="FFC6EFCE"/>
        <bgColor rgb="FFE2EFDA"/>
      </patternFill>
    </fill>
    <fill>
      <patternFill patternType="solid">
        <fgColor rgb="FF2E75B6"/>
        <bgColor rgb="FF4F81BD"/>
      </patternFill>
    </fill>
    <fill>
      <patternFill patternType="solid">
        <fgColor rgb="FFFFC7CE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7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13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13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7" fontId="13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8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9" fontId="13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0" fontId="1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13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1" fontId="13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7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1" fontId="7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1" fillId="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6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6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1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2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2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26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16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1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16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1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3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23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6" fontId="1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29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29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29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1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2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2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4" fontId="7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2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24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2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24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3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3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3" fontId="13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4" fontId="13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0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29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3" fontId="1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0" fontId="2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73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4" fontId="1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8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2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2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2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9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13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0" fillId="13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11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0" fillId="11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8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0" fillId="8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29" fillId="1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31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A64F"/>
      <rgbColor rgb="FF800080"/>
      <rgbColor rgb="FF0070C0"/>
      <rgbColor rgb="FFBFBFBF"/>
      <rgbColor rgb="FF808080"/>
      <rgbColor rgb="FF9999FF"/>
      <rgbColor rgb="FFAA433F"/>
      <rgbColor rgb="FFFFF2CC"/>
      <rgbColor rgb="FFDDEBF7"/>
      <rgbColor rgb="FF660066"/>
      <rgbColor rgb="FFCC8F8E"/>
      <rgbColor rgb="FF0563C1"/>
      <rgbColor rgb="FFD9D9D9"/>
      <rgbColor rgb="FF000080"/>
      <rgbColor rgb="FFFF00FF"/>
      <rgbColor rgb="FFF2F2F2"/>
      <rgbColor rgb="FF00FFFF"/>
      <rgbColor rgb="FF800080"/>
      <rgbColor rgb="FF800000"/>
      <rgbColor rgb="FF4F81BD"/>
      <rgbColor rgb="FF0000FF"/>
      <rgbColor rgb="FF00CCFF"/>
      <rgbColor rgb="FFE2EFDA"/>
      <rgbColor rgb="FFC6EFCE"/>
      <rgbColor rgb="FFFFE699"/>
      <rgbColor rgb="FFB3B3B3"/>
      <rgbColor rgb="FFFCE4D6"/>
      <rgbColor rgb="FFB8CD97"/>
      <rgbColor rgb="FFFFC7CE"/>
      <rgbColor rgb="FF2E75B6"/>
      <rgbColor rgb="FF33CCCC"/>
      <rgbColor rgb="FF98B855"/>
      <rgbColor rgb="FFF9F9F9"/>
      <rgbColor rgb="FFFF9900"/>
      <rgbColor rgb="FFFF6600"/>
      <rgbColor rgb="FF666666"/>
      <rgbColor rgb="FF878787"/>
      <rgbColor rgb="FF1F3864"/>
      <rgbColor rgb="FF00B050"/>
      <rgbColor rgb="FF006100"/>
      <rgbColor rgb="FF333300"/>
      <rgbColor rgb="FF993300"/>
      <rgbColor rgb="FF993366"/>
      <rgbColor rgb="FF1F4E78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Precios implícitos por metodología (vs spot $408)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Resumen!$B$49:$B$56</c:f>
              <c:strCache>
                <c:ptCount val="8"/>
                <c:pt idx="0">
                  <c:v>1. DCF Gordon Growth</c:v>
                </c:pt>
                <c:pt idx="1">
                  <c:v>2. DCF H-Model (fade)</c:v>
                </c:pt>
                <c:pt idx="2">
                  <c:v>3. DCF Exit EV/EBITDA</c:v>
                </c:pt>
                <c:pt idx="3">
                  <c:v>4. DCF Exit EV/EBIT</c:v>
                </c:pt>
                <c:pt idx="4">
                  <c:v>5. DCF Exit EV/Revenue</c:v>
                </c:pt>
                <c:pt idx="5">
                  <c:v>6. NTM P/E × FY27E EPS</c:v>
                </c:pt>
                <c:pt idx="6">
                  <c:v>7. NTM EV/EBITDA × FY27E EBITDA</c:v>
                </c:pt>
                <c:pt idx="7">
                  <c:v>8. NTM EV/Revenue × FY27E Revenue</c:v>
                </c:pt>
              </c:strCache>
            </c:strRef>
          </c:cat>
          <c:val>
            <c:numRef>
              <c:f>Resumen!$C$49:$C$56</c:f>
              <c:numCache>
                <c:formatCode>\$#,##0.00</c:formatCode>
                <c:ptCount val="8"/>
                <c:pt idx="0">
                  <c:v>61.719815737804</c:v>
                </c:pt>
                <c:pt idx="1">
                  <c:v>54.2297678371919</c:v>
                </c:pt>
                <c:pt idx="2">
                  <c:v>86.2089498839028</c:v>
                </c:pt>
                <c:pt idx="3">
                  <c:v>100.264810121124</c:v>
                </c:pt>
                <c:pt idx="4">
                  <c:v>75.9094359308245</c:v>
                </c:pt>
                <c:pt idx="5">
                  <c:v>86.4239555639955</c:v>
                </c:pt>
                <c:pt idx="6">
                  <c:v>78.6771729965819</c:v>
                </c:pt>
                <c:pt idx="7">
                  <c:v>73.0723153247247</c:v>
                </c:pt>
              </c:numCache>
            </c:numRef>
          </c:val>
        </c:ser>
        <c:gapWidth val="150"/>
        <c:overlap val="0"/>
        <c:axId val="32861127"/>
        <c:axId val="20794348"/>
      </c:barChart>
      <c:catAx>
        <c:axId val="32861127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Implied price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794348"/>
        <c:crosses val="autoZero"/>
        <c:auto val="1"/>
        <c:lblAlgn val="ctr"/>
        <c:lblOffset val="100"/>
        <c:noMultiLvlLbl val="0"/>
      </c:catAx>
      <c:valAx>
        <c:axId val="207943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86112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Capex absoluto FY21-FY25 + 9M FY26  ($M)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"Capex"</c:f>
              <c:strCache>
                <c:ptCount val="1"/>
                <c:pt idx="0">
                  <c:v>Capex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Historico!$C$4:$H$4</c:f>
              <c:multiLvlStrCache>
                <c:ptCount val="1"/>
                <c:lvl>
                  <c:pt idx="0">
                    <c:v>Q1 2026</c:v>
                  </c:pt>
                </c:lvl>
                <c:lvl>
                  <c:pt idx="0">
                    <c:v>FY2025</c:v>
                  </c:pt>
                </c:lvl>
                <c:lvl>
                  <c:pt idx="0">
                    <c:v>FY2024</c:v>
                  </c:pt>
                </c:lvl>
                <c:lvl>
                  <c:pt idx="0">
                    <c:v>FY2023</c:v>
                  </c:pt>
                </c:lvl>
                <c:lvl>
                  <c:pt idx="0">
                    <c:v>FY2022</c:v>
                  </c:pt>
                </c:lvl>
                <c:lvl>
                  <c:pt idx="0">
                    <c:v>FY2021</c:v>
                  </c:pt>
                </c:lvl>
              </c:multiLvlStrCache>
            </c:multiLvlStrRef>
          </c:cat>
          <c:val>
            <c:numRef>
              <c:f>Historico!$C$36:$H$36</c:f>
              <c:numCache>
                <c:formatCode>\$#,##0</c:formatCode>
                <c:ptCount val="6"/>
                <c:pt idx="0">
                  <c:v>525</c:v>
                </c:pt>
                <c:pt idx="1">
                  <c:v>408</c:v>
                </c:pt>
                <c:pt idx="2">
                  <c:v>349</c:v>
                </c:pt>
                <c:pt idx="3">
                  <c:v>440</c:v>
                </c:pt>
                <c:pt idx="4">
                  <c:v>688</c:v>
                </c:pt>
                <c:pt idx="5">
                  <c:v>196</c:v>
                </c:pt>
              </c:numCache>
            </c:numRef>
          </c:val>
        </c:ser>
        <c:gapWidth val="150"/>
        <c:overlap val="0"/>
        <c:axId val="59982773"/>
        <c:axId val="76262310"/>
      </c:barChart>
      <c:catAx>
        <c:axId val="5998277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262310"/>
        <c:crosses val="autoZero"/>
        <c:auto val="1"/>
        <c:lblAlgn val="ctr"/>
        <c:lblOffset val="100"/>
        <c:noMultiLvlLbl val="0"/>
      </c:catAx>
      <c:valAx>
        <c:axId val="7626231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$M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98277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Capex / Revenue ratio (FY21-9M FY26)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"Capex / Revenue"</c:f>
              <c:strCache>
                <c:ptCount val="1"/>
                <c:pt idx="0">
                  <c:v>Capex / Revenue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Historico!$C$4:$H$4</c:f>
              <c:multiLvlStrCache>
                <c:ptCount val="1"/>
                <c:lvl>
                  <c:pt idx="0">
                    <c:v>Q1 2026</c:v>
                  </c:pt>
                </c:lvl>
                <c:lvl>
                  <c:pt idx="0">
                    <c:v>FY2025</c:v>
                  </c:pt>
                </c:lvl>
                <c:lvl>
                  <c:pt idx="0">
                    <c:v>FY2024</c:v>
                  </c:pt>
                </c:lvl>
                <c:lvl>
                  <c:pt idx="0">
                    <c:v>FY2023</c:v>
                  </c:pt>
                </c:lvl>
                <c:lvl>
                  <c:pt idx="0">
                    <c:v>FY2022</c:v>
                  </c:pt>
                </c:lvl>
                <c:lvl>
                  <c:pt idx="0">
                    <c:v>FY2021</c:v>
                  </c:pt>
                </c:lvl>
              </c:multiLvlStrCache>
            </c:multiLvlStrRef>
          </c:cat>
          <c:val>
            <c:numRef>
              <c:f>Historico!$C$37:$H$37</c:f>
              <c:numCache>
                <c:formatCode>0.0%</c:formatCode>
                <c:ptCount val="6"/>
                <c:pt idx="0">
                  <c:v>0.0176779581116574</c:v>
                </c:pt>
                <c:pt idx="1">
                  <c:v>0.0129048582995951</c:v>
                </c:pt>
                <c:pt idx="2">
                  <c:v>0.0103490199567061</c:v>
                </c:pt>
                <c:pt idx="3">
                  <c:v>0.0112817620061024</c:v>
                </c:pt>
                <c:pt idx="4">
                  <c:v>0.0152269658942523</c:v>
                </c:pt>
                <c:pt idx="5">
                  <c:v>0.016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6885572"/>
        <c:axId val="87767773"/>
      </c:lineChart>
      <c:catAx>
        <c:axId val="668855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767773"/>
        <c:crosses val="autoZero"/>
        <c:auto val="1"/>
        <c:lblAlgn val="ctr"/>
        <c:lblOffset val="100"/>
        <c:noMultiLvlLbl val="0"/>
      </c:catAx>
      <c:valAx>
        <c:axId val="8776777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88557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Proyección de Revenue por segmento (FY26-FY30E)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"PBP"</c:f>
              <c:strCache>
                <c:ptCount val="1"/>
                <c:pt idx="0">
                  <c:v>PBP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Modelo!$C$4:$G$4</c:f>
              <c:multiLvlStrCache>
                <c:ptCount val="1"/>
                <c:lvl>
                  <c:pt idx="0">
                    <c:v>FY2030E</c:v>
                  </c:pt>
                </c:lvl>
                <c:lvl>
                  <c:pt idx="0">
                    <c:v>FY2029E</c:v>
                  </c:pt>
                </c:lvl>
                <c:lvl>
                  <c:pt idx="0">
                    <c:v>FY2028E</c:v>
                  </c:pt>
                </c:lvl>
                <c:lvl>
                  <c:pt idx="0">
                    <c:v>FY2027E</c:v>
                  </c:pt>
                </c:lvl>
                <c:lvl>
                  <c:pt idx="0">
                    <c:v>FY2026E</c:v>
                  </c:pt>
                </c:lvl>
              </c:multiLvlStrCache>
            </c:multiLvlStrRef>
          </c:cat>
          <c:val>
            <c:numRef>
              <c:f>Modelo!$C$7:$G$7</c:f>
              <c:numCache>
                <c:formatCode>\$#,##0</c:formatCode>
                <c:ptCount val="5"/>
                <c:pt idx="0">
                  <c:v>47960</c:v>
                </c:pt>
                <c:pt idx="1">
                  <c:v>51796.8</c:v>
                </c:pt>
                <c:pt idx="2">
                  <c:v>55422.576</c:v>
                </c:pt>
                <c:pt idx="3">
                  <c:v>58747.93056</c:v>
                </c:pt>
                <c:pt idx="4">
                  <c:v>61685.327088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"Intelligent Cloud"</c:f>
              <c:strCache>
                <c:ptCount val="1"/>
                <c:pt idx="0">
                  <c:v>Intelligent Cloud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Modelo!$C$4:$G$4</c:f>
              <c:multiLvlStrCache>
                <c:ptCount val="1"/>
                <c:lvl>
                  <c:pt idx="0">
                    <c:v>FY2030E</c:v>
                  </c:pt>
                </c:lvl>
                <c:lvl>
                  <c:pt idx="0">
                    <c:v>FY2029E</c:v>
                  </c:pt>
                </c:lvl>
                <c:lvl>
                  <c:pt idx="0">
                    <c:v>FY2028E</c:v>
                  </c:pt>
                </c:lvl>
                <c:lvl>
                  <c:pt idx="0">
                    <c:v>FY2027E</c:v>
                  </c:pt>
                </c:lvl>
                <c:lvl>
                  <c:pt idx="0">
                    <c:v>FY2026E</c:v>
                  </c:pt>
                </c:lvl>
              </c:multiLvlStrCache>
            </c:multiLvlStrRef>
          </c:cat>
          <c:val>
            <c:numRef>
              <c:f>Modelo!$C$9:$G$9</c:f>
              <c:numCache>
                <c:formatCode>\$#,##0</c:formatCode>
                <c:ptCount val="5"/>
                <c:pt idx="0">
                  <c:v>3000</c:v>
                </c:pt>
                <c:pt idx="1">
                  <c:v>4800</c:v>
                </c:pt>
                <c:pt idx="2">
                  <c:v>6720</c:v>
                </c:pt>
                <c:pt idx="3">
                  <c:v>8400</c:v>
                </c:pt>
                <c:pt idx="4">
                  <c:v>9660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"MPC"</c:f>
              <c:strCache>
                <c:ptCount val="1"/>
                <c:pt idx="0">
                  <c:v>MPC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Modelo!$C$4:$G$4</c:f>
              <c:multiLvlStrCache>
                <c:ptCount val="1"/>
                <c:lvl>
                  <c:pt idx="0">
                    <c:v>FY2030E</c:v>
                  </c:pt>
                </c:lvl>
                <c:lvl>
                  <c:pt idx="0">
                    <c:v>FY2029E</c:v>
                  </c:pt>
                </c:lvl>
                <c:lvl>
                  <c:pt idx="0">
                    <c:v>FY2028E</c:v>
                  </c:pt>
                </c:lvl>
                <c:lvl>
                  <c:pt idx="0">
                    <c:v>FY2027E</c:v>
                  </c:pt>
                </c:lvl>
                <c:lvl>
                  <c:pt idx="0">
                    <c:v>FY2026E</c:v>
                  </c:pt>
                </c:lvl>
              </c:multiLvlStrCache>
            </c:multiLvlStrRef>
          </c:cat>
          <c:val>
            <c:numRef>
              <c:f>Modelo!$C$11:$G$11</c:f>
              <c:numCache>
                <c:formatCode>\$#,##0</c:formatCode>
                <c:ptCount val="5"/>
                <c:pt idx="0">
                  <c:v>124.5</c:v>
                </c:pt>
                <c:pt idx="1">
                  <c:v>174.3</c:v>
                </c:pt>
                <c:pt idx="2">
                  <c:v>226.59</c:v>
                </c:pt>
                <c:pt idx="3">
                  <c:v>271.908</c:v>
                </c:pt>
                <c:pt idx="4">
                  <c:v>312.6942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3334275"/>
        <c:axId val="41800333"/>
      </c:lineChart>
      <c:catAx>
        <c:axId val="1333427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800333"/>
        <c:crosses val="autoZero"/>
        <c:auto val="1"/>
        <c:lblAlgn val="ctr"/>
        <c:lblOffset val="100"/>
        <c:noMultiLvlLbl val="0"/>
      </c:catAx>
      <c:valAx>
        <c:axId val="4180033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$M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33427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FCFF vs Capex FY26-FY30E — el ciclo de capex AI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"Capex"</c:f>
              <c:strCache>
                <c:ptCount val="1"/>
                <c:pt idx="0">
                  <c:v>Capex</c:v>
                </c:pt>
              </c:strCache>
            </c:strRef>
          </c:tx>
          <c:spPr>
            <a:solidFill>
              <a:srgbClr val="8aa64f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Modelo!$C$4:$G$4</c:f>
              <c:multiLvlStrCache>
                <c:ptCount val="1"/>
                <c:lvl>
                  <c:pt idx="0">
                    <c:v>FY2030E</c:v>
                  </c:pt>
                </c:lvl>
                <c:lvl>
                  <c:pt idx="0">
                    <c:v>FY2029E</c:v>
                  </c:pt>
                </c:lvl>
                <c:lvl>
                  <c:pt idx="0">
                    <c:v>FY2028E</c:v>
                  </c:pt>
                </c:lvl>
                <c:lvl>
                  <c:pt idx="0">
                    <c:v>FY2027E</c:v>
                  </c:pt>
                </c:lvl>
                <c:lvl>
                  <c:pt idx="0">
                    <c:v>FY2026E</c:v>
                  </c:pt>
                </c:lvl>
              </c:multiLvlStrCache>
            </c:multiLvlStrRef>
          </c:cat>
          <c:val>
            <c:numRef>
              <c:f>Modelo!$C$30:$G$30</c:f>
              <c:numCache>
                <c:formatCode>\$#,##0;"($"#,##0\)</c:formatCode>
                <c:ptCount val="5"/>
                <c:pt idx="0">
                  <c:v>-766.2675</c:v>
                </c:pt>
                <c:pt idx="1">
                  <c:v>-851.5665</c:v>
                </c:pt>
                <c:pt idx="2">
                  <c:v>-935.53749</c:v>
                </c:pt>
                <c:pt idx="3">
                  <c:v>-943.87773984</c:v>
                </c:pt>
                <c:pt idx="4">
                  <c:v>-1003.212298032</c:v>
                </c:pt>
              </c:numCache>
            </c:numRef>
          </c:val>
        </c:ser>
        <c:ser>
          <c:idx val="1"/>
          <c:order val="1"/>
          <c:tx>
            <c:strRef>
              <c:f>"FCFF"</c:f>
              <c:strCache>
                <c:ptCount val="1"/>
                <c:pt idx="0">
                  <c:v>FCFF</c:v>
                </c:pt>
              </c:strCache>
            </c:strRef>
          </c:tx>
          <c:spPr>
            <a:solidFill>
              <a:srgbClr val="b8cd97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Modelo!$C$4:$G$4</c:f>
              <c:multiLvlStrCache>
                <c:ptCount val="1"/>
                <c:lvl>
                  <c:pt idx="0">
                    <c:v>FY2030E</c:v>
                  </c:pt>
                </c:lvl>
                <c:lvl>
                  <c:pt idx="0">
                    <c:v>FY2029E</c:v>
                  </c:pt>
                </c:lvl>
                <c:lvl>
                  <c:pt idx="0">
                    <c:v>FY2028E</c:v>
                  </c:pt>
                </c:lvl>
                <c:lvl>
                  <c:pt idx="0">
                    <c:v>FY2027E</c:v>
                  </c:pt>
                </c:lvl>
                <c:lvl>
                  <c:pt idx="0">
                    <c:v>FY2026E</c:v>
                  </c:pt>
                </c:lvl>
              </c:multiLvlStrCache>
            </c:multiLvlStrRef>
          </c:cat>
          <c:val>
            <c:numRef>
              <c:f>Modelo!$C$33:$G$33</c:f>
              <c:numCache>
                <c:formatCode>\$#,##0</c:formatCode>
                <c:ptCount val="5"/>
                <c:pt idx="0">
                  <c:v>12684.251</c:v>
                </c:pt>
                <c:pt idx="1">
                  <c:v>14449.9314</c:v>
                </c:pt>
                <c:pt idx="2">
                  <c:v>16383.015588</c:v>
                </c:pt>
                <c:pt idx="3">
                  <c:v>17858.12220768</c:v>
                </c:pt>
                <c:pt idx="4">
                  <c:v>19544.294038416</c:v>
                </c:pt>
              </c:numCache>
            </c:numRef>
          </c:val>
        </c:ser>
        <c:gapWidth val="150"/>
        <c:overlap val="0"/>
        <c:axId val="75389571"/>
        <c:axId val="80783300"/>
      </c:barChart>
      <c:catAx>
        <c:axId val="7538957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783300"/>
        <c:crosses val="autoZero"/>
        <c:auto val="1"/>
        <c:lblAlgn val="ctr"/>
        <c:lblOffset val="100"/>
        <c:noMultiLvlLbl val="0"/>
      </c:catAx>
      <c:valAx>
        <c:axId val="8078330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$M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38957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ROE GAAP vs ROIC Operativo (FY21-FY25 + 9M FY26)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"ROE GAAP"</c:f>
              <c:strCache>
                <c:ptCount val="1"/>
                <c:pt idx="0">
                  <c:v>ROE GAAP</c:v>
                </c:pt>
              </c:strCache>
            </c:strRef>
          </c:tx>
          <c:spPr>
            <a:solidFill>
              <a:srgbClr val="aa433f"/>
            </a:solidFill>
            <a:ln w="4752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DuPont_WC!$C$40:$H$40</c:f>
              <c:multiLvlStrCache>
                <c:ptCount val="1"/>
                <c:lvl>
                  <c:pt idx="0">
                    <c:v>9M parcial</c:v>
                  </c:pt>
                </c:lvl>
                <c:lvl>
                  <c:pt idx="0">
                    <c:v>FY2025</c:v>
                  </c:pt>
                </c:lvl>
                <c:lvl>
                  <c:pt idx="0">
                    <c:v>FY2024</c:v>
                  </c:pt>
                </c:lvl>
                <c:lvl>
                  <c:pt idx="0">
                    <c:v>FY2023</c:v>
                  </c:pt>
                </c:lvl>
                <c:lvl>
                  <c:pt idx="0">
                    <c:v>FY2022</c:v>
                  </c:pt>
                </c:lvl>
                <c:lvl>
                  <c:pt idx="0">
                    <c:v>FY2021</c:v>
                  </c:pt>
                </c:lvl>
              </c:multiLvlStrCache>
            </c:multiLvlStrRef>
          </c:cat>
          <c:val>
            <c:numRef>
              <c:f>DuPont_WC!$C$28:$H$28</c:f>
              <c:numCache>
                <c:formatCode>0.0%</c:formatCode>
                <c:ptCount val="6"/>
                <c:pt idx="0">
                  <c:v>0.322796390939492</c:v>
                </c:pt>
                <c:pt idx="1">
                  <c:v>0.216200606439813</c:v>
                </c:pt>
                <c:pt idx="2">
                  <c:v>0.262677287740431</c:v>
                </c:pt>
                <c:pt idx="3">
                  <c:v>0.352085354025218</c:v>
                </c:pt>
                <c:pt idx="4">
                  <c:v>0.412586887093744</c:v>
                </c:pt>
                <c:pt idx="5">
                  <c:v>0.172084690553746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"ROIC operativo (NOPAT/IC)"</c:f>
              <c:strCache>
                <c:ptCount val="1"/>
                <c:pt idx="0">
                  <c:v>ROIC operativo (NOPAT/IC)</c:v>
                </c:pt>
              </c:strCache>
            </c:strRef>
          </c:tx>
          <c:spPr>
            <a:solidFill>
              <a:srgbClr val="cc8f8e"/>
            </a:solidFill>
            <a:ln w="4752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DuPont_WC!$C$40:$H$40</c:f>
              <c:multiLvlStrCache>
                <c:ptCount val="1"/>
                <c:lvl>
                  <c:pt idx="0">
                    <c:v>9M parcial</c:v>
                  </c:pt>
                </c:lvl>
                <c:lvl>
                  <c:pt idx="0">
                    <c:v>FY2025</c:v>
                  </c:pt>
                </c:lvl>
                <c:lvl>
                  <c:pt idx="0">
                    <c:v>FY2024</c:v>
                  </c:pt>
                </c:lvl>
                <c:lvl>
                  <c:pt idx="0">
                    <c:v>FY2023</c:v>
                  </c:pt>
                </c:lvl>
                <c:lvl>
                  <c:pt idx="0">
                    <c:v>FY2022</c:v>
                  </c:pt>
                </c:lvl>
                <c:lvl>
                  <c:pt idx="0">
                    <c:v>FY2021</c:v>
                  </c:pt>
                </c:lvl>
              </c:multiLvlStrCache>
            </c:multiLvlStrRef>
          </c:cat>
          <c:val>
            <c:numRef>
              <c:f>DuPont_WC!$C$35:$H$35</c:f>
              <c:numCache>
                <c:formatCode>0.0%</c:formatCode>
                <c:ptCount val="6"/>
                <c:pt idx="0">
                  <c:v>0.195599657338664</c:v>
                </c:pt>
                <c:pt idx="1">
                  <c:v>0.16489003164557</c:v>
                </c:pt>
                <c:pt idx="2">
                  <c:v>0.194307759214294</c:v>
                </c:pt>
                <c:pt idx="3">
                  <c:v>0.277736584018233</c:v>
                </c:pt>
                <c:pt idx="4">
                  <c:v>0.339867072895509</c:v>
                </c:pt>
                <c:pt idx="5">
                  <c:v>0.100314108001131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5334749"/>
        <c:axId val="93137026"/>
      </c:lineChart>
      <c:catAx>
        <c:axId val="1533474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137026"/>
        <c:crosses val="autoZero"/>
        <c:auto val="1"/>
        <c:lblAlgn val="ctr"/>
        <c:lblOffset val="100"/>
        <c:noMultiLvlLbl val="0"/>
      </c:catAx>
      <c:valAx>
        <c:axId val="9313702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33474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Operating margin trend (FY21-FY25 + 9M FY26)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"Operating margin"</c:f>
              <c:strCache>
                <c:ptCount val="1"/>
                <c:pt idx="0">
                  <c:v>Operating margin</c:v>
                </c:pt>
              </c:strCache>
            </c:strRef>
          </c:tx>
          <c:spPr>
            <a:solidFill>
              <a:srgbClr val="98b855"/>
            </a:solidFill>
            <a:ln w="4752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DuPont_WC!$C$40:$H$40</c:f>
              <c:multiLvlStrCache>
                <c:ptCount val="1"/>
                <c:lvl>
                  <c:pt idx="0">
                    <c:v>9M parcial</c:v>
                  </c:pt>
                </c:lvl>
                <c:lvl>
                  <c:pt idx="0">
                    <c:v>FY2025</c:v>
                  </c:pt>
                </c:lvl>
                <c:lvl>
                  <c:pt idx="0">
                    <c:v>FY2024</c:v>
                  </c:pt>
                </c:lvl>
                <c:lvl>
                  <c:pt idx="0">
                    <c:v>FY2023</c:v>
                  </c:pt>
                </c:lvl>
                <c:lvl>
                  <c:pt idx="0">
                    <c:v>FY2022</c:v>
                  </c:pt>
                </c:lvl>
                <c:lvl>
                  <c:pt idx="0">
                    <c:v>FY2021</c:v>
                  </c:pt>
                </c:lvl>
              </c:multiLvlStrCache>
            </c:multiLvlStrRef>
          </c:cat>
          <c:val>
            <c:numRef>
              <c:f>DuPont_WC!$C$24:$H$24</c:f>
              <c:numCache>
                <c:formatCode>0.0%</c:formatCode>
                <c:ptCount val="6"/>
                <c:pt idx="0">
                  <c:v>0.208599905717557</c:v>
                </c:pt>
                <c:pt idx="1">
                  <c:v>0.178169281376518</c:v>
                </c:pt>
                <c:pt idx="2">
                  <c:v>0.206209411974024</c:v>
                </c:pt>
                <c:pt idx="3">
                  <c:v>0.26712135586267</c:v>
                </c:pt>
                <c:pt idx="4">
                  <c:v>0.294956067547529</c:v>
                </c:pt>
                <c:pt idx="5">
                  <c:v>0.323020408163265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3435016"/>
        <c:axId val="49600094"/>
      </c:lineChart>
      <c:catAx>
        <c:axId val="2343501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600094"/>
        <c:crosses val="autoZero"/>
        <c:auto val="1"/>
        <c:lblAlgn val="ctr"/>
        <c:lblOffset val="100"/>
        <c:noMultiLvlLbl val="0"/>
      </c:catAx>
      <c:valAx>
        <c:axId val="49600094"/>
        <c:scaling>
          <c:orientation val="minMax"/>
          <c:max val="0.5"/>
          <c:min val="0.35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43501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Base case vs Implícito en spot $408 — cada variable, ceteris paribus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"Base case"</c:f>
              <c:strCache>
                <c:ptCount val="1"/>
                <c:pt idx="0">
                  <c:v>Base case</c:v>
                </c:pt>
              </c:strCache>
            </c:strRef>
          </c:tx>
          <c:spPr>
            <a:solidFill>
              <a:srgbClr val="8aa64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Reverse_DCF!$B$60:$B$64</c:f>
              <c:strCache>
                <c:ptCount val="5"/>
                <c:pt idx="0">
                  <c:v>Terminal g (perpetuidad)</c:v>
                </c:pt>
                <c:pt idx="1">
                  <c:v>WACC</c:v>
                </c:pt>
                <c:pt idx="2">
                  <c:v>EBIT margin FY30E</c:v>
                </c:pt>
                <c:pt idx="3">
                  <c:v>Capex/Rev terminal</c:v>
                </c:pt>
                <c:pt idx="4">
                  <c:v>Revenue CAGR FY25→FY30</c:v>
                </c:pt>
              </c:strCache>
            </c:strRef>
          </c:cat>
          <c:val>
            <c:numRef>
              <c:f>Reverse_DCF!$C$60:$C$64</c:f>
              <c:numCache>
                <c:formatCode>0.0%</c:formatCode>
                <c:ptCount val="5"/>
                <c:pt idx="0">
                  <c:v>0.03</c:v>
                </c:pt>
                <c:pt idx="1">
                  <c:v>0.0962814124088264</c:v>
                </c:pt>
                <c:pt idx="2">
                  <c:v>0.348429976978183</c:v>
                </c:pt>
                <c:pt idx="3">
                  <c:v>0.013</c:v>
                </c:pt>
                <c:pt idx="4">
                  <c:v>0.0966245134851049</c:v>
                </c:pt>
              </c:numCache>
            </c:numRef>
          </c:val>
        </c:ser>
        <c:ser>
          <c:idx val="1"/>
          <c:order val="1"/>
          <c:tx>
            <c:strRef>
              <c:f>"Implícito spot"</c:f>
              <c:strCache>
                <c:ptCount val="1"/>
                <c:pt idx="0">
                  <c:v>Implícito spot</c:v>
                </c:pt>
              </c:strCache>
            </c:strRef>
          </c:tx>
          <c:spPr>
            <a:solidFill>
              <a:srgbClr val="b8cd9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Reverse_DCF!$B$60:$B$64</c:f>
              <c:strCache>
                <c:ptCount val="5"/>
                <c:pt idx="0">
                  <c:v>Terminal g (perpetuidad)</c:v>
                </c:pt>
                <c:pt idx="1">
                  <c:v>WACC</c:v>
                </c:pt>
                <c:pt idx="2">
                  <c:v>EBIT margin FY30E</c:v>
                </c:pt>
                <c:pt idx="3">
                  <c:v>Capex/Rev terminal</c:v>
                </c:pt>
                <c:pt idx="4">
                  <c:v>Revenue CAGR FY25→FY30</c:v>
                </c:pt>
              </c:strCache>
            </c:strRef>
          </c:cat>
          <c:val>
            <c:numRef>
              <c:f>Reverse_DCF!$D$60:$D$64</c:f>
              <c:numCache>
                <c:formatCode>0.0%</c:formatCode>
                <c:ptCount val="5"/>
                <c:pt idx="0">
                  <c:v>0.053964002956864</c:v>
                </c:pt>
                <c:pt idx="1">
                  <c:v>0.0733853142006095</c:v>
                </c:pt>
                <c:pt idx="2">
                  <c:v>0.553919794271807</c:v>
                </c:pt>
                <c:pt idx="3">
                  <c:v>-0.150391853834899</c:v>
                </c:pt>
                <c:pt idx="4">
                  <c:v>0.181654747226477</c:v>
                </c:pt>
              </c:numCache>
            </c:numRef>
          </c:val>
        </c:ser>
        <c:gapWidth val="150"/>
        <c:overlap val="0"/>
        <c:axId val="76960921"/>
        <c:axId val="49927995"/>
      </c:barChart>
      <c:catAx>
        <c:axId val="7696092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927995"/>
        <c:crosses val="autoZero"/>
        <c:auto val="1"/>
        <c:lblAlgn val="ctr"/>
        <c:lblOffset val="100"/>
        <c:noMultiLvlLbl val="0"/>
      </c:catAx>
      <c:valAx>
        <c:axId val="4992799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96092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40</xdr:row>
      <xdr:rowOff>142920</xdr:rowOff>
    </xdr:from>
    <xdr:to>
      <xdr:col>12</xdr:col>
      <xdr:colOff>57960</xdr:colOff>
      <xdr:row>49</xdr:row>
      <xdr:rowOff>258120</xdr:rowOff>
    </xdr:to>
    <xdr:graphicFrame>
      <xdr:nvGraphicFramePr>
        <xdr:cNvPr id="0" name="Chart 1"/>
        <xdr:cNvGraphicFramePr/>
      </xdr:nvGraphicFramePr>
      <xdr:xfrm>
        <a:off x="5920920" y="9468000"/>
        <a:ext cx="6473880" cy="3906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4</xdr:row>
      <xdr:rowOff>0</xdr:rowOff>
    </xdr:from>
    <xdr:to>
      <xdr:col>18</xdr:col>
      <xdr:colOff>252360</xdr:colOff>
      <xdr:row>18</xdr:row>
      <xdr:rowOff>171000</xdr:rowOff>
    </xdr:to>
    <xdr:graphicFrame>
      <xdr:nvGraphicFramePr>
        <xdr:cNvPr id="1" name="Chart 1"/>
        <xdr:cNvGraphicFramePr/>
      </xdr:nvGraphicFramePr>
      <xdr:xfrm>
        <a:off x="12475800" y="847800"/>
        <a:ext cx="5756040" cy="2876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24</xdr:row>
      <xdr:rowOff>0</xdr:rowOff>
    </xdr:from>
    <xdr:to>
      <xdr:col>18</xdr:col>
      <xdr:colOff>252360</xdr:colOff>
      <xdr:row>37</xdr:row>
      <xdr:rowOff>1440</xdr:rowOff>
    </xdr:to>
    <xdr:graphicFrame>
      <xdr:nvGraphicFramePr>
        <xdr:cNvPr id="2" name="Chart 2"/>
        <xdr:cNvGraphicFramePr/>
      </xdr:nvGraphicFramePr>
      <xdr:xfrm>
        <a:off x="12475800" y="4695840"/>
        <a:ext cx="5756040" cy="2516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51</xdr:row>
      <xdr:rowOff>0</xdr:rowOff>
    </xdr:from>
    <xdr:to>
      <xdr:col>15</xdr:col>
      <xdr:colOff>539640</xdr:colOff>
      <xdr:row>67</xdr:row>
      <xdr:rowOff>187920</xdr:rowOff>
    </xdr:to>
    <xdr:graphicFrame>
      <xdr:nvGraphicFramePr>
        <xdr:cNvPr id="3" name="Chart 1"/>
        <xdr:cNvGraphicFramePr/>
      </xdr:nvGraphicFramePr>
      <xdr:xfrm>
        <a:off x="10713600" y="9801360"/>
        <a:ext cx="5755680" cy="3235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71</xdr:row>
      <xdr:rowOff>0</xdr:rowOff>
    </xdr:from>
    <xdr:to>
      <xdr:col>15</xdr:col>
      <xdr:colOff>539640</xdr:colOff>
      <xdr:row>87</xdr:row>
      <xdr:rowOff>187560</xdr:rowOff>
    </xdr:to>
    <xdr:graphicFrame>
      <xdr:nvGraphicFramePr>
        <xdr:cNvPr id="4" name="Chart 2"/>
        <xdr:cNvGraphicFramePr/>
      </xdr:nvGraphicFramePr>
      <xdr:xfrm>
        <a:off x="10713600" y="13611240"/>
        <a:ext cx="5755680" cy="3235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5</xdr:row>
      <xdr:rowOff>0</xdr:rowOff>
    </xdr:from>
    <xdr:to>
      <xdr:col>19</xdr:col>
      <xdr:colOff>250200</xdr:colOff>
      <xdr:row>21</xdr:row>
      <xdr:rowOff>185760</xdr:rowOff>
    </xdr:to>
    <xdr:graphicFrame>
      <xdr:nvGraphicFramePr>
        <xdr:cNvPr id="5" name="Chart 1"/>
        <xdr:cNvGraphicFramePr/>
      </xdr:nvGraphicFramePr>
      <xdr:xfrm>
        <a:off x="13862520" y="1066680"/>
        <a:ext cx="5753880" cy="3233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25</xdr:row>
      <xdr:rowOff>0</xdr:rowOff>
    </xdr:from>
    <xdr:to>
      <xdr:col>19</xdr:col>
      <xdr:colOff>250200</xdr:colOff>
      <xdr:row>38</xdr:row>
      <xdr:rowOff>37440</xdr:rowOff>
    </xdr:to>
    <xdr:graphicFrame>
      <xdr:nvGraphicFramePr>
        <xdr:cNvPr id="6" name="Chart 2"/>
        <xdr:cNvGraphicFramePr/>
      </xdr:nvGraphicFramePr>
      <xdr:xfrm>
        <a:off x="13862520" y="4876920"/>
        <a:ext cx="5753880" cy="2513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4</xdr:row>
      <xdr:rowOff>0</xdr:rowOff>
    </xdr:from>
    <xdr:to>
      <xdr:col>17</xdr:col>
      <xdr:colOff>610200</xdr:colOff>
      <xdr:row>21</xdr:row>
      <xdr:rowOff>183960</xdr:rowOff>
    </xdr:to>
    <xdr:graphicFrame>
      <xdr:nvGraphicFramePr>
        <xdr:cNvPr id="7" name="Chart 1"/>
        <xdr:cNvGraphicFramePr/>
      </xdr:nvGraphicFramePr>
      <xdr:xfrm>
        <a:off x="12593880" y="895320"/>
        <a:ext cx="6113880" cy="3593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https://www.sec.gov/Archives/edgar/data/789019/000095017025100235/msft-20250630.htm" TargetMode="External"/><Relationship Id="rId2" Type="http://schemas.openxmlformats.org/officeDocument/2006/relationships/hyperlink" Target="https://www.sec.gov/Archives/edgar/data/0000789019/000119312526191507/msft-20260331.htm" TargetMode="External"/><Relationship Id="rId3" Type="http://schemas.openxmlformats.org/officeDocument/2006/relationships/hyperlink" Target="https://www.microsoft.com/en-us/investor/earnings/fy-2026-q3/press-release-webcast" TargetMode="External"/><Relationship Id="rId4" Type="http://schemas.openxmlformats.org/officeDocument/2006/relationships/hyperlink" Target="https://www.sec.gov/Archives/edgar/data/789019/000095017024087843/msft-20240630.htm" TargetMode="External"/><Relationship Id="rId5" Type="http://schemas.openxmlformats.org/officeDocument/2006/relationships/hyperlink" Target="https://www.sec.gov/Archives/edgar/data/789019/000095017023035122/msft-20230630.htm" TargetMode="External"/><Relationship Id="rId6" Type="http://schemas.openxmlformats.org/officeDocument/2006/relationships/hyperlink" Target="https://www.sec.gov/Archives/edgar/data/789019/000156459022026876/msft-10k_20220630.htm" TargetMode="External"/><Relationship Id="rId7" Type="http://schemas.openxmlformats.org/officeDocument/2006/relationships/hyperlink" Target="https://www.sec.gov/Archives/edgar/data/789019/000156459021039151/msft-10k_20210630.htm" TargetMode="External"/><Relationship Id="rId8" Type="http://schemas.openxmlformats.org/officeDocument/2006/relationships/hyperlink" Target="https://fred.stlouisfed.org/series/DGS10" TargetMode="External"/><Relationship Id="rId9" Type="http://schemas.openxmlformats.org/officeDocument/2006/relationships/hyperlink" Target="https://pages.stern.nyu.edu/~adamodar/" TargetMode="External"/><Relationship Id="rId10" Type="http://schemas.openxmlformats.org/officeDocument/2006/relationships/hyperlink" Target="https://finance.yahoo.com/quote/MSFT" TargetMode="External"/><Relationship Id="rId11" Type="http://schemas.openxmlformats.org/officeDocument/2006/relationships/hyperlink" Target="https://finance.yahoo.com/quote/MSFT/history" TargetMode="External"/><Relationship Id="rId12" Type="http://schemas.openxmlformats.org/officeDocument/2006/relationships/hyperlink" Target="https://pages.stern.nyu.edu/~adamodar/New_Home_Page/datafile/Betas.html" TargetMode="External"/><Relationship Id="rId13" Type="http://schemas.openxmlformats.org/officeDocument/2006/relationships/hyperlink" Target="https://abc.xyz/investor/" TargetMode="External"/><Relationship Id="rId14" Type="http://schemas.openxmlformats.org/officeDocument/2006/relationships/hyperlink" Target="https://ir.aboutamazon.com/" TargetMode="External"/><Relationship Id="rId15" Type="http://schemas.openxmlformats.org/officeDocument/2006/relationships/hyperlink" Target="https://investor.oracle.com/" TargetMode="External"/><Relationship Id="rId16" Type="http://schemas.openxmlformats.org/officeDocument/2006/relationships/hyperlink" Target="https://www.sec.gov/cgi-bin/browse-edgar?action=getcompany&amp;CIK=0001336528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C9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2"/>
    <col collapsed="false" customWidth="true" hidden="false" outlineLevel="0" max="3" min="3" style="1" width="95"/>
    <col collapsed="false" customWidth="true" hidden="false" outlineLevel="0" max="4" min="4" style="1" width="2"/>
  </cols>
  <sheetData>
    <row r="2" customFormat="false" ht="31.5" hidden="false" customHeight="true" outlineLevel="0" collapsed="false">
      <c r="B2" s="2" t="s">
        <v>0</v>
      </c>
      <c r="C2" s="2"/>
    </row>
    <row r="3" customFormat="false" ht="15" hidden="false" customHeight="true" outlineLevel="0" collapsed="false">
      <c r="B3" s="3" t="s">
        <v>1</v>
      </c>
      <c r="C3" s="3"/>
    </row>
    <row r="5" customFormat="false" ht="21.75" hidden="false" customHeight="true" outlineLevel="0" collapsed="false">
      <c r="B5" s="4" t="s">
        <v>2</v>
      </c>
      <c r="C5" s="4"/>
    </row>
    <row r="6" customFormat="false" ht="6" hidden="false" customHeight="true" outlineLevel="0" collapsed="false"/>
    <row r="7" customFormat="false" ht="42" hidden="false" customHeight="true" outlineLevel="0" collapsed="false">
      <c r="B7" s="5" t="s">
        <v>3</v>
      </c>
      <c r="C7" s="6" t="s">
        <v>4</v>
      </c>
    </row>
    <row r="8" customFormat="false" ht="42" hidden="false" customHeight="true" outlineLevel="0" collapsed="false">
      <c r="B8" s="5" t="s">
        <v>5</v>
      </c>
      <c r="C8" s="6" t="s">
        <v>6</v>
      </c>
    </row>
    <row r="9" customFormat="false" ht="42" hidden="false" customHeight="true" outlineLevel="0" collapsed="false">
      <c r="B9" s="5" t="s">
        <v>7</v>
      </c>
      <c r="C9" s="6" t="s">
        <v>8</v>
      </c>
    </row>
    <row r="10" customFormat="false" ht="42" hidden="false" customHeight="true" outlineLevel="0" collapsed="false">
      <c r="B10" s="5" t="s">
        <v>9</v>
      </c>
      <c r="C10" s="6" t="s">
        <v>10</v>
      </c>
    </row>
    <row r="12" customFormat="false" ht="21.75" hidden="false" customHeight="true" outlineLevel="0" collapsed="false">
      <c r="B12" s="4" t="s">
        <v>11</v>
      </c>
      <c r="C12" s="4"/>
    </row>
    <row r="13" customFormat="false" ht="6" hidden="false" customHeight="true" outlineLevel="0" collapsed="false"/>
    <row r="14" customFormat="false" ht="42" hidden="false" customHeight="true" outlineLevel="0" collapsed="false">
      <c r="B14" s="5" t="s">
        <v>12</v>
      </c>
      <c r="C14" s="6" t="s">
        <v>13</v>
      </c>
    </row>
    <row r="15" customFormat="false" ht="42" hidden="false" customHeight="true" outlineLevel="0" collapsed="false">
      <c r="B15" s="5" t="s">
        <v>14</v>
      </c>
      <c r="C15" s="6" t="s">
        <v>15</v>
      </c>
    </row>
    <row r="16" customFormat="false" ht="42" hidden="false" customHeight="true" outlineLevel="0" collapsed="false">
      <c r="B16" s="5" t="s">
        <v>16</v>
      </c>
      <c r="C16" s="6" t="s">
        <v>17</v>
      </c>
    </row>
    <row r="17" customFormat="false" ht="42" hidden="false" customHeight="true" outlineLevel="0" collapsed="false">
      <c r="B17" s="5" t="s">
        <v>18</v>
      </c>
      <c r="C17" s="6" t="s">
        <v>19</v>
      </c>
    </row>
    <row r="18" customFormat="false" ht="42" hidden="false" customHeight="true" outlineLevel="0" collapsed="false">
      <c r="B18" s="5" t="s">
        <v>20</v>
      </c>
      <c r="C18" s="6" t="s">
        <v>21</v>
      </c>
    </row>
    <row r="19" customFormat="false" ht="42" hidden="false" customHeight="true" outlineLevel="0" collapsed="false">
      <c r="B19" s="5" t="s">
        <v>22</v>
      </c>
      <c r="C19" s="6" t="s">
        <v>23</v>
      </c>
    </row>
    <row r="20" customFormat="false" ht="42" hidden="false" customHeight="true" outlineLevel="0" collapsed="false">
      <c r="B20" s="5" t="s">
        <v>24</v>
      </c>
      <c r="C20" s="6" t="s">
        <v>25</v>
      </c>
    </row>
    <row r="21" customFormat="false" ht="42" hidden="false" customHeight="true" outlineLevel="0" collapsed="false">
      <c r="B21" s="5" t="s">
        <v>26</v>
      </c>
      <c r="C21" s="6" t="s">
        <v>27</v>
      </c>
    </row>
    <row r="22" customFormat="false" ht="42" hidden="false" customHeight="true" outlineLevel="0" collapsed="false">
      <c r="B22" s="5" t="s">
        <v>28</v>
      </c>
      <c r="C22" s="6" t="s">
        <v>29</v>
      </c>
    </row>
    <row r="24" customFormat="false" ht="21.75" hidden="false" customHeight="true" outlineLevel="0" collapsed="false">
      <c r="B24" s="4" t="s">
        <v>30</v>
      </c>
      <c r="C24" s="4"/>
    </row>
    <row r="25" customFormat="false" ht="6" hidden="false" customHeight="true" outlineLevel="0" collapsed="false"/>
    <row r="26" customFormat="false" ht="19.5" hidden="false" customHeight="true" outlineLevel="0" collapsed="false">
      <c r="B26" s="7" t="s">
        <v>31</v>
      </c>
      <c r="C26" s="8" t="s">
        <v>32</v>
      </c>
    </row>
    <row r="27" customFormat="false" ht="19.5" hidden="false" customHeight="true" outlineLevel="0" collapsed="false">
      <c r="B27" s="8" t="s">
        <v>33</v>
      </c>
      <c r="C27" s="8" t="s">
        <v>34</v>
      </c>
    </row>
    <row r="28" customFormat="false" ht="19.5" hidden="false" customHeight="true" outlineLevel="0" collapsed="false">
      <c r="B28" s="9" t="s">
        <v>35</v>
      </c>
      <c r="C28" s="8" t="s">
        <v>36</v>
      </c>
    </row>
    <row r="29" customFormat="false" ht="19.5" hidden="false" customHeight="true" outlineLevel="0" collapsed="false">
      <c r="B29" s="10" t="s">
        <v>37</v>
      </c>
      <c r="C29" s="8" t="s">
        <v>38</v>
      </c>
    </row>
    <row r="30" customFormat="false" ht="19.5" hidden="false" customHeight="true" outlineLevel="0" collapsed="false">
      <c r="B30" s="11" t="s">
        <v>39</v>
      </c>
      <c r="C30" s="8" t="s">
        <v>40</v>
      </c>
    </row>
    <row r="31" customFormat="false" ht="19.5" hidden="false" customHeight="true" outlineLevel="0" collapsed="false">
      <c r="B31" s="12" t="s">
        <v>41</v>
      </c>
      <c r="C31" s="8" t="s">
        <v>42</v>
      </c>
    </row>
    <row r="32" customFormat="false" ht="19.5" hidden="false" customHeight="true" outlineLevel="0" collapsed="false">
      <c r="B32" s="13" t="s">
        <v>43</v>
      </c>
      <c r="C32" s="8" t="s">
        <v>44</v>
      </c>
    </row>
    <row r="33" customFormat="false" ht="19.5" hidden="false" customHeight="true" outlineLevel="0" collapsed="false">
      <c r="B33" s="14" t="s">
        <v>45</v>
      </c>
      <c r="C33" s="8" t="s">
        <v>46</v>
      </c>
    </row>
    <row r="35" customFormat="false" ht="21.75" hidden="false" customHeight="true" outlineLevel="0" collapsed="false">
      <c r="B35" s="4" t="s">
        <v>47</v>
      </c>
      <c r="C35" s="4"/>
    </row>
    <row r="36" customFormat="false" ht="6" hidden="false" customHeight="true" outlineLevel="0" collapsed="false"/>
    <row r="37" customFormat="false" ht="55.5" hidden="false" customHeight="true" outlineLevel="0" collapsed="false">
      <c r="B37" s="5" t="s">
        <v>48</v>
      </c>
      <c r="C37" s="6" t="s">
        <v>49</v>
      </c>
    </row>
    <row r="38" customFormat="false" ht="55.5" hidden="false" customHeight="true" outlineLevel="0" collapsed="false">
      <c r="B38" s="5" t="s">
        <v>50</v>
      </c>
      <c r="C38" s="6" t="s">
        <v>51</v>
      </c>
    </row>
    <row r="39" customFormat="false" ht="55.5" hidden="false" customHeight="true" outlineLevel="0" collapsed="false">
      <c r="B39" s="5" t="s">
        <v>52</v>
      </c>
      <c r="C39" s="6" t="s">
        <v>53</v>
      </c>
    </row>
    <row r="40" customFormat="false" ht="55.5" hidden="false" customHeight="true" outlineLevel="0" collapsed="false">
      <c r="B40" s="5" t="s">
        <v>54</v>
      </c>
      <c r="C40" s="6" t="s">
        <v>55</v>
      </c>
    </row>
    <row r="41" customFormat="false" ht="55.5" hidden="false" customHeight="true" outlineLevel="0" collapsed="false">
      <c r="B41" s="5" t="s">
        <v>56</v>
      </c>
      <c r="C41" s="6" t="s">
        <v>57</v>
      </c>
    </row>
    <row r="42" customFormat="false" ht="55.5" hidden="false" customHeight="true" outlineLevel="0" collapsed="false">
      <c r="B42" s="5" t="s">
        <v>58</v>
      </c>
      <c r="C42" s="6" t="s">
        <v>59</v>
      </c>
    </row>
    <row r="43" customFormat="false" ht="55.5" hidden="false" customHeight="true" outlineLevel="0" collapsed="false">
      <c r="B43" s="5" t="s">
        <v>60</v>
      </c>
      <c r="C43" s="6" t="s">
        <v>61</v>
      </c>
    </row>
    <row r="44" customFormat="false" ht="55.5" hidden="false" customHeight="true" outlineLevel="0" collapsed="false">
      <c r="B44" s="5" t="s">
        <v>62</v>
      </c>
      <c r="C44" s="6" t="s">
        <v>63</v>
      </c>
    </row>
    <row r="46" customFormat="false" ht="49.5" hidden="false" customHeight="true" outlineLevel="0" collapsed="false">
      <c r="B46" s="5" t="s">
        <v>64</v>
      </c>
      <c r="C46" s="15" t="s">
        <v>65</v>
      </c>
    </row>
    <row r="48" customFormat="false" ht="21.75" hidden="false" customHeight="true" outlineLevel="0" collapsed="false">
      <c r="B48" s="4" t="s">
        <v>66</v>
      </c>
      <c r="C48" s="4"/>
    </row>
    <row r="49" customFormat="false" ht="6" hidden="false" customHeight="true" outlineLevel="0" collapsed="false"/>
    <row r="50" customFormat="false" ht="21.75" hidden="false" customHeight="true" outlineLevel="0" collapsed="false">
      <c r="C50" s="16" t="s">
        <v>67</v>
      </c>
    </row>
    <row r="51" customFormat="false" ht="21.75" hidden="false" customHeight="true" outlineLevel="0" collapsed="false">
      <c r="C51" s="16" t="s">
        <v>68</v>
      </c>
    </row>
    <row r="52" customFormat="false" ht="21.75" hidden="false" customHeight="true" outlineLevel="0" collapsed="false">
      <c r="C52" s="16" t="s">
        <v>69</v>
      </c>
    </row>
    <row r="53" customFormat="false" ht="21.75" hidden="false" customHeight="true" outlineLevel="0" collapsed="false">
      <c r="C53" s="16" t="s">
        <v>70</v>
      </c>
    </row>
    <row r="54" customFormat="false" ht="21.75" hidden="false" customHeight="true" outlineLevel="0" collapsed="false">
      <c r="C54" s="16" t="s">
        <v>71</v>
      </c>
    </row>
    <row r="55" customFormat="false" ht="21.75" hidden="false" customHeight="true" outlineLevel="0" collapsed="false">
      <c r="C55" s="16" t="s">
        <v>72</v>
      </c>
    </row>
    <row r="56" customFormat="false" ht="21.75" hidden="false" customHeight="true" outlineLevel="0" collapsed="false">
      <c r="C56" s="16" t="s">
        <v>73</v>
      </c>
    </row>
    <row r="57" customFormat="false" ht="21.75" hidden="false" customHeight="true" outlineLevel="0" collapsed="false">
      <c r="C57" s="16" t="s">
        <v>74</v>
      </c>
    </row>
    <row r="58" customFormat="false" ht="21.75" hidden="false" customHeight="true" outlineLevel="0" collapsed="false">
      <c r="C58" s="16" t="s">
        <v>75</v>
      </c>
    </row>
    <row r="59" customFormat="false" ht="21.75" hidden="false" customHeight="true" outlineLevel="0" collapsed="false">
      <c r="C59" s="16" t="s">
        <v>76</v>
      </c>
    </row>
    <row r="60" customFormat="false" ht="21.75" hidden="false" customHeight="true" outlineLevel="0" collapsed="false">
      <c r="C60" s="16" t="s">
        <v>77</v>
      </c>
    </row>
    <row r="61" customFormat="false" ht="21.75" hidden="false" customHeight="true" outlineLevel="0" collapsed="false">
      <c r="C61" s="16" t="s">
        <v>78</v>
      </c>
    </row>
    <row r="62" customFormat="false" ht="21.75" hidden="false" customHeight="true" outlineLevel="0" collapsed="false">
      <c r="C62" s="16" t="s">
        <v>79</v>
      </c>
    </row>
    <row r="64" customFormat="false" ht="21.75" hidden="false" customHeight="true" outlineLevel="0" collapsed="false">
      <c r="B64" s="4" t="s">
        <v>80</v>
      </c>
      <c r="C64" s="4"/>
    </row>
    <row r="65" customFormat="false" ht="6" hidden="false" customHeight="true" outlineLevel="0" collapsed="false"/>
    <row r="66" customFormat="false" ht="24" hidden="false" customHeight="true" outlineLevel="0" collapsed="false">
      <c r="C66" s="17" t="s">
        <v>81</v>
      </c>
    </row>
    <row r="67" customFormat="false" ht="24" hidden="false" customHeight="true" outlineLevel="0" collapsed="false">
      <c r="C67" s="17" t="s">
        <v>82</v>
      </c>
    </row>
    <row r="68" customFormat="false" ht="24" hidden="false" customHeight="true" outlineLevel="0" collapsed="false">
      <c r="C68" s="17" t="s">
        <v>83</v>
      </c>
    </row>
    <row r="69" customFormat="false" ht="24" hidden="false" customHeight="true" outlineLevel="0" collapsed="false">
      <c r="C69" s="17" t="s">
        <v>84</v>
      </c>
    </row>
    <row r="70" customFormat="false" ht="24" hidden="false" customHeight="true" outlineLevel="0" collapsed="false">
      <c r="C70" s="17" t="s">
        <v>85</v>
      </c>
    </row>
    <row r="71" customFormat="false" ht="24" hidden="false" customHeight="true" outlineLevel="0" collapsed="false">
      <c r="C71" s="17" t="s">
        <v>86</v>
      </c>
    </row>
    <row r="72" customFormat="false" ht="24" hidden="false" customHeight="true" outlineLevel="0" collapsed="false">
      <c r="C72" s="17" t="s">
        <v>87</v>
      </c>
    </row>
    <row r="73" customFormat="false" ht="24" hidden="false" customHeight="true" outlineLevel="0" collapsed="false">
      <c r="C73" s="17" t="s">
        <v>88</v>
      </c>
    </row>
    <row r="74" customFormat="false" ht="24" hidden="false" customHeight="true" outlineLevel="0" collapsed="false">
      <c r="C74" s="17" t="s">
        <v>89</v>
      </c>
    </row>
    <row r="75" customFormat="false" ht="24" hidden="false" customHeight="true" outlineLevel="0" collapsed="false">
      <c r="C75" s="17" t="s">
        <v>90</v>
      </c>
    </row>
    <row r="77" customFormat="false" ht="21.75" hidden="false" customHeight="true" outlineLevel="0" collapsed="false">
      <c r="B77" s="4" t="s">
        <v>91</v>
      </c>
      <c r="C77" s="4"/>
    </row>
    <row r="78" customFormat="false" ht="6" hidden="false" customHeight="true" outlineLevel="0" collapsed="false"/>
    <row r="79" customFormat="false" ht="31.5" hidden="false" customHeight="true" outlineLevel="0" collapsed="false">
      <c r="B79" s="5" t="s">
        <v>92</v>
      </c>
      <c r="C79" s="6" t="s">
        <v>93</v>
      </c>
    </row>
    <row r="80" customFormat="false" ht="31.5" hidden="false" customHeight="true" outlineLevel="0" collapsed="false">
      <c r="B80" s="5" t="s">
        <v>94</v>
      </c>
      <c r="C80" s="6" t="s">
        <v>95</v>
      </c>
    </row>
    <row r="81" customFormat="false" ht="31.5" hidden="false" customHeight="true" outlineLevel="0" collapsed="false">
      <c r="B81" s="5" t="s">
        <v>96</v>
      </c>
      <c r="C81" s="6" t="s">
        <v>97</v>
      </c>
    </row>
    <row r="82" customFormat="false" ht="31.5" hidden="false" customHeight="true" outlineLevel="0" collapsed="false">
      <c r="B82" s="5" t="s">
        <v>98</v>
      </c>
      <c r="C82" s="6" t="s">
        <v>99</v>
      </c>
    </row>
    <row r="83" customFormat="false" ht="31.5" hidden="false" customHeight="true" outlineLevel="0" collapsed="false">
      <c r="B83" s="5" t="s">
        <v>100</v>
      </c>
      <c r="C83" s="6" t="s">
        <v>101</v>
      </c>
    </row>
    <row r="85" customFormat="false" ht="21.75" hidden="false" customHeight="true" outlineLevel="0" collapsed="false">
      <c r="B85" s="4" t="s">
        <v>102</v>
      </c>
      <c r="C85" s="4"/>
    </row>
    <row r="86" customFormat="false" ht="6" hidden="false" customHeight="true" outlineLevel="0" collapsed="false"/>
    <row r="87" customFormat="false" ht="60" hidden="false" customHeight="true" outlineLevel="0" collapsed="false">
      <c r="B87" s="5" t="s">
        <v>103</v>
      </c>
      <c r="C87" s="6" t="s">
        <v>104</v>
      </c>
    </row>
    <row r="90" customFormat="false" ht="15" hidden="false" customHeight="false" outlineLevel="0" collapsed="false">
      <c r="B90" s="1" t="s">
        <v>105</v>
      </c>
    </row>
    <row r="92" customFormat="false" ht="15" hidden="false" customHeight="false" outlineLevel="0" collapsed="false">
      <c r="B92" s="1" t="s">
        <v>106</v>
      </c>
    </row>
    <row r="93" customFormat="false" ht="15" hidden="false" customHeight="false" outlineLevel="0" collapsed="false">
      <c r="B93" s="1" t="s">
        <v>107</v>
      </c>
    </row>
    <row r="94" customFormat="false" ht="15" hidden="false" customHeight="false" outlineLevel="0" collapsed="false">
      <c r="B94" s="1" t="s">
        <v>108</v>
      </c>
    </row>
    <row r="95" customFormat="false" ht="15" hidden="false" customHeight="false" outlineLevel="0" collapsed="false">
      <c r="B95" s="1" t="s">
        <v>109</v>
      </c>
    </row>
    <row r="96" customFormat="false" ht="15" hidden="false" customHeight="false" outlineLevel="0" collapsed="false">
      <c r="B96" s="1" t="s">
        <v>110</v>
      </c>
    </row>
  </sheetData>
  <mergeCells count="10">
    <mergeCell ref="B2:C2"/>
    <mergeCell ref="B3:C3"/>
    <mergeCell ref="B5:C5"/>
    <mergeCell ref="B12:C12"/>
    <mergeCell ref="B24:C24"/>
    <mergeCell ref="B35:C35"/>
    <mergeCell ref="B48:C48"/>
    <mergeCell ref="B64:C64"/>
    <mergeCell ref="B77:C77"/>
    <mergeCell ref="B85:C85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7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0"/>
    <col collapsed="false" customWidth="true" hidden="false" outlineLevel="0" max="3" min="3" style="1" width="18"/>
    <col collapsed="false" customWidth="true" hidden="false" outlineLevel="0" max="4" min="4" style="1" width="4"/>
    <col collapsed="false" customWidth="true" hidden="false" outlineLevel="0" max="5" min="5" style="1" width="30"/>
    <col collapsed="false" customWidth="true" hidden="false" outlineLevel="0" max="6" min="6" style="1" width="18"/>
    <col collapsed="false" customWidth="true" hidden="false" outlineLevel="0" max="7" min="7" style="1" width="4"/>
    <col collapsed="false" customWidth="true" hidden="false" outlineLevel="0" max="8" min="8" style="1" width="25"/>
    <col collapsed="false" customWidth="true" hidden="false" outlineLevel="0" max="9" min="9" style="1" width="18"/>
  </cols>
  <sheetData>
    <row r="2" customFormat="false" ht="27.75" hidden="false" customHeight="true" outlineLevel="0" collapsed="false">
      <c r="B2" s="2" t="s">
        <v>111</v>
      </c>
      <c r="C2" s="2"/>
      <c r="D2" s="2"/>
      <c r="E2" s="2"/>
      <c r="F2" s="2"/>
      <c r="G2" s="2"/>
      <c r="H2" s="2"/>
      <c r="I2" s="2"/>
    </row>
    <row r="3" customFormat="false" ht="15" hidden="false" customHeight="true" outlineLevel="0" collapsed="false">
      <c r="B3" s="18" t="s">
        <v>112</v>
      </c>
      <c r="C3" s="18"/>
      <c r="D3" s="18"/>
      <c r="E3" s="18"/>
      <c r="F3" s="18"/>
      <c r="G3" s="18"/>
      <c r="H3" s="18"/>
      <c r="I3" s="18"/>
    </row>
    <row r="5" customFormat="false" ht="19.5" hidden="false" customHeight="true" outlineLevel="0" collapsed="false">
      <c r="B5" s="19" t="s">
        <v>113</v>
      </c>
      <c r="C5" s="19"/>
      <c r="D5" s="19"/>
      <c r="E5" s="19"/>
      <c r="F5" s="19"/>
      <c r="G5" s="19"/>
      <c r="H5" s="19"/>
      <c r="I5" s="19"/>
    </row>
    <row r="6" customFormat="false" ht="15" hidden="false" customHeight="true" outlineLevel="0" collapsed="false">
      <c r="B6" s="20" t="s">
        <v>114</v>
      </c>
      <c r="C6" s="8" t="s">
        <v>115</v>
      </c>
      <c r="E6" s="20" t="s">
        <v>116</v>
      </c>
      <c r="F6" s="21" t="n">
        <f aca="false">Hipotesis!$C$6</f>
        <v>87.02</v>
      </c>
    </row>
    <row r="7" customFormat="false" ht="15" hidden="false" customHeight="true" outlineLevel="0" collapsed="false">
      <c r="B7" s="20" t="s">
        <v>117</v>
      </c>
      <c r="C7" s="8" t="s">
        <v>118</v>
      </c>
      <c r="E7" s="20" t="s">
        <v>119</v>
      </c>
      <c r="F7" s="22" t="n">
        <f aca="false">Hipotesis!$C$21/1000</f>
        <v>366.597856</v>
      </c>
    </row>
    <row r="8" customFormat="false" ht="15" hidden="false" customHeight="true" outlineLevel="0" collapsed="false">
      <c r="B8" s="20" t="s">
        <v>120</v>
      </c>
      <c r="C8" s="8" t="s">
        <v>121</v>
      </c>
      <c r="E8" s="20" t="s">
        <v>122</v>
      </c>
      <c r="F8" s="22" t="n">
        <f aca="false">(Hipotesis!$C$21+Hipotesis!$C$14-Hipotesis!$C$15)/1000</f>
        <v>370.999856</v>
      </c>
    </row>
    <row r="9" customFormat="false" ht="15" hidden="false" customHeight="true" outlineLevel="0" collapsed="false">
      <c r="B9" s="20" t="s">
        <v>123</v>
      </c>
      <c r="C9" s="8" t="s">
        <v>124</v>
      </c>
      <c r="E9" s="20" t="s">
        <v>125</v>
      </c>
      <c r="F9" s="23" t="n">
        <f aca="false">Hipotesis!$C$8</f>
        <v>4212.8</v>
      </c>
    </row>
    <row r="10" customFormat="false" ht="15" hidden="false" customHeight="true" outlineLevel="0" collapsed="false">
      <c r="B10" s="20" t="s">
        <v>126</v>
      </c>
      <c r="C10" s="8" t="s">
        <v>127</v>
      </c>
      <c r="E10" s="20" t="s">
        <v>128</v>
      </c>
      <c r="F10" s="24" t="s">
        <v>129</v>
      </c>
    </row>
    <row r="11" customFormat="false" ht="23.25" hidden="false" customHeight="true" outlineLevel="0" collapsed="false">
      <c r="B11" s="20" t="s">
        <v>130</v>
      </c>
      <c r="C11" s="8" t="s">
        <v>131</v>
      </c>
      <c r="E11" s="20" t="s">
        <v>132</v>
      </c>
      <c r="F11" s="24" t="s">
        <v>133</v>
      </c>
    </row>
    <row r="12" customFormat="false" ht="15" hidden="false" customHeight="true" outlineLevel="0" collapsed="false">
      <c r="B12" s="20" t="s">
        <v>134</v>
      </c>
      <c r="C12" s="8" t="s">
        <v>135</v>
      </c>
      <c r="E12" s="20" t="s">
        <v>136</v>
      </c>
      <c r="F12" s="24" t="s">
        <v>137</v>
      </c>
    </row>
    <row r="13" customFormat="false" ht="15" hidden="false" customHeight="true" outlineLevel="0" collapsed="false">
      <c r="B13" s="20" t="s">
        <v>138</v>
      </c>
      <c r="C13" s="8" t="s">
        <v>139</v>
      </c>
      <c r="E13" s="20" t="s">
        <v>140</v>
      </c>
      <c r="F13" s="24" t="s">
        <v>141</v>
      </c>
    </row>
    <row r="14" customFormat="false" ht="15" hidden="false" customHeight="true" outlineLevel="0" collapsed="false">
      <c r="B14" s="20" t="s">
        <v>142</v>
      </c>
      <c r="C14" s="8" t="s">
        <v>143</v>
      </c>
      <c r="E14" s="20" t="s">
        <v>144</v>
      </c>
      <c r="F14" s="25" t="n">
        <f aca="false">Hipotesis!$C$11</f>
        <v>1.25</v>
      </c>
    </row>
    <row r="15" customFormat="false" ht="23.25" hidden="false" customHeight="true" outlineLevel="0" collapsed="false">
      <c r="B15" s="20" t="s">
        <v>145</v>
      </c>
      <c r="C15" s="8" t="s">
        <v>146</v>
      </c>
      <c r="E15" s="20" t="s">
        <v>147</v>
      </c>
      <c r="F15" s="24" t="s">
        <v>148</v>
      </c>
    </row>
    <row r="16" customFormat="false" ht="15" hidden="false" customHeight="true" outlineLevel="0" collapsed="false">
      <c r="B16" s="1" t="s">
        <v>149</v>
      </c>
      <c r="C16" s="1" t="s">
        <v>150</v>
      </c>
    </row>
    <row r="17" customFormat="false" ht="19.5" hidden="false" customHeight="true" outlineLevel="0" collapsed="false">
      <c r="B17" s="19" t="s">
        <v>151</v>
      </c>
      <c r="C17" s="19"/>
      <c r="D17" s="19"/>
      <c r="E17" s="19"/>
      <c r="F17" s="19"/>
      <c r="G17" s="19"/>
      <c r="H17" s="19"/>
      <c r="I17" s="19"/>
    </row>
    <row r="18" customFormat="false" ht="15" hidden="false" customHeight="true" outlineLevel="0" collapsed="false">
      <c r="B18" s="20" t="s">
        <v>152</v>
      </c>
      <c r="C18" s="8" t="s">
        <v>153</v>
      </c>
      <c r="E18" s="26" t="s">
        <v>154</v>
      </c>
      <c r="F18" s="26"/>
      <c r="G18" s="26"/>
      <c r="H18" s="26"/>
      <c r="I18" s="26"/>
    </row>
    <row r="19" customFormat="false" ht="15" hidden="false" customHeight="true" outlineLevel="0" collapsed="false">
      <c r="B19" s="20" t="s">
        <v>155</v>
      </c>
      <c r="C19" s="8" t="s">
        <v>156</v>
      </c>
      <c r="E19" s="26" t="s">
        <v>157</v>
      </c>
      <c r="F19" s="26"/>
      <c r="G19" s="26"/>
      <c r="H19" s="26"/>
      <c r="I19" s="26"/>
    </row>
    <row r="20" customFormat="false" ht="15" hidden="false" customHeight="true" outlineLevel="0" collapsed="false">
      <c r="B20" s="20" t="s">
        <v>158</v>
      </c>
      <c r="C20" s="8" t="s">
        <v>159</v>
      </c>
      <c r="E20" s="26" t="s">
        <v>160</v>
      </c>
      <c r="F20" s="26"/>
      <c r="G20" s="26"/>
      <c r="H20" s="26"/>
      <c r="I20" s="26"/>
    </row>
    <row r="21" customFormat="false" ht="15" hidden="false" customHeight="true" outlineLevel="0" collapsed="false">
      <c r="B21" s="20" t="s">
        <v>161</v>
      </c>
      <c r="C21" s="8" t="s">
        <v>162</v>
      </c>
      <c r="E21" s="26" t="s">
        <v>163</v>
      </c>
      <c r="F21" s="26"/>
      <c r="G21" s="26"/>
      <c r="H21" s="26"/>
      <c r="I21" s="26"/>
    </row>
    <row r="22" customFormat="false" ht="15" hidden="false" customHeight="true" outlineLevel="0" collapsed="false">
      <c r="B22" s="20" t="s">
        <v>164</v>
      </c>
      <c r="C22" s="8" t="s">
        <v>165</v>
      </c>
      <c r="E22" s="26" t="s">
        <v>166</v>
      </c>
      <c r="F22" s="26"/>
      <c r="G22" s="26"/>
      <c r="H22" s="26"/>
      <c r="I22" s="26"/>
    </row>
    <row r="23" customFormat="false" ht="15" hidden="false" customHeight="true" outlineLevel="0" collapsed="false">
      <c r="B23" s="20" t="s">
        <v>167</v>
      </c>
      <c r="C23" s="8" t="s">
        <v>168</v>
      </c>
      <c r="E23" s="26" t="s">
        <v>169</v>
      </c>
      <c r="F23" s="26"/>
      <c r="G23" s="26"/>
      <c r="H23" s="26"/>
      <c r="I23" s="26"/>
    </row>
    <row r="24" customFormat="false" ht="15" hidden="false" customHeight="true" outlineLevel="0" collapsed="false">
      <c r="B24" s="20" t="s">
        <v>170</v>
      </c>
      <c r="C24" s="8" t="s">
        <v>171</v>
      </c>
      <c r="E24" s="1" t="s">
        <v>172</v>
      </c>
    </row>
    <row r="25" customFormat="false" ht="15" hidden="false" customHeight="true" outlineLevel="0" collapsed="false">
      <c r="B25" s="20" t="s">
        <v>173</v>
      </c>
      <c r="C25" s="8" t="s">
        <v>174</v>
      </c>
      <c r="E25" s="1" t="s">
        <v>175</v>
      </c>
    </row>
    <row r="26" customFormat="false" ht="15" hidden="false" customHeight="true" outlineLevel="0" collapsed="false">
      <c r="B26" s="20" t="s">
        <v>176</v>
      </c>
      <c r="C26" s="8" t="s">
        <v>177</v>
      </c>
      <c r="E26" s="26" t="s">
        <v>178</v>
      </c>
      <c r="F26" s="26"/>
      <c r="G26" s="26"/>
      <c r="H26" s="26"/>
      <c r="I26" s="26"/>
    </row>
    <row r="27" customFormat="false" ht="15" hidden="false" customHeight="true" outlineLevel="0" collapsed="false">
      <c r="B27" s="27" t="s">
        <v>179</v>
      </c>
      <c r="C27" s="8" t="s">
        <v>180</v>
      </c>
      <c r="E27" s="26" t="s">
        <v>181</v>
      </c>
      <c r="F27" s="26"/>
      <c r="G27" s="26"/>
      <c r="H27" s="26"/>
      <c r="I27" s="26"/>
    </row>
    <row r="28" customFormat="false" ht="15" hidden="false" customHeight="true" outlineLevel="0" collapsed="false">
      <c r="B28" s="20" t="s">
        <v>182</v>
      </c>
      <c r="C28" s="8" t="s">
        <v>183</v>
      </c>
      <c r="E28" s="26" t="s">
        <v>184</v>
      </c>
      <c r="F28" s="26"/>
      <c r="G28" s="26"/>
      <c r="H28" s="26"/>
      <c r="I28" s="26"/>
    </row>
    <row r="29" customFormat="false" ht="15" hidden="false" customHeight="true" outlineLevel="0" collapsed="false">
      <c r="B29" s="20" t="s">
        <v>185</v>
      </c>
      <c r="C29" s="8" t="s">
        <v>186</v>
      </c>
      <c r="E29" s="26" t="s">
        <v>187</v>
      </c>
      <c r="F29" s="26"/>
      <c r="G29" s="26"/>
      <c r="H29" s="26"/>
      <c r="I29" s="26"/>
    </row>
    <row r="30" customFormat="false" ht="15" hidden="false" customHeight="true" outlineLevel="0" collapsed="false">
      <c r="B30" s="20" t="s">
        <v>188</v>
      </c>
      <c r="C30" s="8" t="s">
        <v>189</v>
      </c>
      <c r="E30" s="1" t="s">
        <v>190</v>
      </c>
    </row>
    <row r="31" customFormat="false" ht="15" hidden="false" customHeight="true" outlineLevel="0" collapsed="false">
      <c r="B31" s="20" t="s">
        <v>191</v>
      </c>
      <c r="C31" s="8" t="s">
        <v>192</v>
      </c>
    </row>
    <row r="33" customFormat="false" ht="19.5" hidden="false" customHeight="true" outlineLevel="0" collapsed="false">
      <c r="B33" s="19" t="s">
        <v>193</v>
      </c>
      <c r="C33" s="19"/>
      <c r="D33" s="19"/>
      <c r="E33" s="19"/>
      <c r="F33" s="19"/>
      <c r="G33" s="19"/>
      <c r="H33" s="19"/>
      <c r="I33" s="19"/>
    </row>
    <row r="34" customFormat="false" ht="23.25" hidden="false" customHeight="true" outlineLevel="0" collapsed="false">
      <c r="B34" s="28" t="s">
        <v>194</v>
      </c>
      <c r="C34" s="29" t="s">
        <v>195</v>
      </c>
      <c r="D34" s="29" t="s">
        <v>196</v>
      </c>
      <c r="E34" s="29" t="s">
        <v>197</v>
      </c>
      <c r="F34" s="29" t="s">
        <v>198</v>
      </c>
      <c r="G34" s="29" t="s">
        <v>199</v>
      </c>
    </row>
    <row r="35" customFormat="false" ht="34.5" hidden="false" customHeight="true" outlineLevel="0" collapsed="false">
      <c r="B35" s="20" t="s">
        <v>200</v>
      </c>
      <c r="C35" s="30" t="n">
        <v>29698</v>
      </c>
      <c r="D35" s="30" t="n">
        <v>31616</v>
      </c>
      <c r="E35" s="30" t="n">
        <v>33723</v>
      </c>
      <c r="F35" s="30" t="n">
        <v>39001</v>
      </c>
      <c r="G35" s="30" t="n">
        <v>45183</v>
      </c>
    </row>
    <row r="36" customFormat="false" ht="23.25" hidden="false" customHeight="true" outlineLevel="0" collapsed="false">
      <c r="B36" s="20" t="s">
        <v>201</v>
      </c>
      <c r="C36" s="31" t="s">
        <v>202</v>
      </c>
      <c r="D36" s="31" t="s">
        <v>203</v>
      </c>
      <c r="E36" s="31" t="s">
        <v>204</v>
      </c>
      <c r="F36" s="31" t="s">
        <v>205</v>
      </c>
      <c r="G36" s="31" t="s">
        <v>206</v>
      </c>
    </row>
    <row r="37" customFormat="false" ht="34.5" hidden="false" customHeight="true" outlineLevel="0" collapsed="false">
      <c r="B37" s="20" t="s">
        <v>207</v>
      </c>
      <c r="C37" s="30" t="n">
        <v>6195</v>
      </c>
      <c r="D37" s="30" t="n">
        <v>5633</v>
      </c>
      <c r="E37" s="30" t="n">
        <v>6954</v>
      </c>
      <c r="F37" s="30" t="n">
        <v>10418</v>
      </c>
      <c r="G37" s="30" t="n">
        <v>13327</v>
      </c>
    </row>
    <row r="38" customFormat="false" ht="23.25" hidden="false" customHeight="true" outlineLevel="0" collapsed="false">
      <c r="B38" s="20" t="s">
        <v>208</v>
      </c>
      <c r="C38" s="31" t="s">
        <v>209</v>
      </c>
      <c r="D38" s="31" t="s">
        <v>210</v>
      </c>
      <c r="E38" s="31" t="s">
        <v>211</v>
      </c>
      <c r="F38" s="31" t="s">
        <v>212</v>
      </c>
      <c r="G38" s="31" t="s">
        <v>213</v>
      </c>
    </row>
    <row r="39" customFormat="false" ht="34.5" hidden="false" customHeight="true" outlineLevel="0" collapsed="false">
      <c r="B39" s="20" t="s">
        <v>214</v>
      </c>
      <c r="C39" s="30" t="n">
        <v>5116</v>
      </c>
      <c r="D39" s="30" t="n">
        <v>4492</v>
      </c>
      <c r="E39" s="30" t="n">
        <v>5408</v>
      </c>
      <c r="F39" s="30" t="n">
        <v>8712</v>
      </c>
      <c r="G39" s="30" t="n">
        <v>10981</v>
      </c>
    </row>
    <row r="40" customFormat="false" ht="23.25" hidden="false" customHeight="true" outlineLevel="0" collapsed="false">
      <c r="B40" s="20" t="s">
        <v>215</v>
      </c>
      <c r="C40" s="32" t="n">
        <v>1.13</v>
      </c>
      <c r="D40" s="32" t="n">
        <v>1</v>
      </c>
      <c r="E40" s="32" t="n">
        <v>1.22</v>
      </c>
      <c r="F40" s="32" t="n">
        <v>2</v>
      </c>
      <c r="G40" s="32" t="n">
        <v>2.55</v>
      </c>
    </row>
    <row r="41" customFormat="false" ht="34.5" hidden="false" customHeight="true" outlineLevel="0" collapsed="false">
      <c r="B41" s="20" t="s">
        <v>216</v>
      </c>
      <c r="C41" s="30" t="n">
        <v>393</v>
      </c>
      <c r="D41" s="30" t="n">
        <v>2026</v>
      </c>
      <c r="E41" s="30" t="n">
        <v>7274</v>
      </c>
      <c r="F41" s="30" t="n">
        <v>7361</v>
      </c>
      <c r="G41" s="30" t="n">
        <v>10149</v>
      </c>
    </row>
    <row r="42" customFormat="false" ht="34.5" hidden="false" customHeight="true" outlineLevel="0" collapsed="false">
      <c r="B42" s="20" t="s">
        <v>217</v>
      </c>
      <c r="C42" s="33" t="n">
        <v>-525</v>
      </c>
      <c r="D42" s="33" t="n">
        <v>-408</v>
      </c>
      <c r="E42" s="33" t="n">
        <v>-349</v>
      </c>
      <c r="F42" s="33" t="n">
        <v>-440</v>
      </c>
      <c r="G42" s="33" t="n">
        <v>-688</v>
      </c>
    </row>
    <row r="43" customFormat="false" ht="34.5" hidden="false" customHeight="true" outlineLevel="0" collapsed="false">
      <c r="B43" s="20" t="s">
        <v>218</v>
      </c>
      <c r="C43" s="30" t="n">
        <v>-132</v>
      </c>
      <c r="D43" s="30" t="n">
        <v>1619</v>
      </c>
      <c r="E43" s="30" t="n">
        <v>6925</v>
      </c>
      <c r="F43" s="30" t="n">
        <v>6921</v>
      </c>
      <c r="G43" s="30" t="n">
        <v>9461</v>
      </c>
    </row>
    <row r="44" customFormat="false" ht="34.5" hidden="false" customHeight="true" outlineLevel="0" collapsed="false">
      <c r="B44" s="20" t="s">
        <v>219</v>
      </c>
      <c r="C44" s="33" t="n">
        <v>-600</v>
      </c>
      <c r="D44" s="33" t="n">
        <v>0</v>
      </c>
      <c r="E44" s="33" t="n">
        <v>-6045</v>
      </c>
      <c r="F44" s="33" t="n">
        <v>-6264</v>
      </c>
      <c r="G44" s="33" t="n">
        <v>-9127</v>
      </c>
    </row>
    <row r="45" customFormat="false" ht="34.5" hidden="false" customHeight="true" outlineLevel="0" collapsed="false">
      <c r="B45" s="20" t="s">
        <v>220</v>
      </c>
      <c r="C45" s="33" t="n">
        <v>0</v>
      </c>
      <c r="D45" s="33" t="n">
        <v>0</v>
      </c>
      <c r="E45" s="33" t="n">
        <v>0</v>
      </c>
      <c r="F45" s="33" t="n">
        <v>0</v>
      </c>
      <c r="G45" s="33" t="n">
        <v>0</v>
      </c>
    </row>
    <row r="47" customFormat="false" ht="19.5" hidden="false" customHeight="true" outlineLevel="0" collapsed="false">
      <c r="B47" s="19" t="s">
        <v>221</v>
      </c>
      <c r="C47" s="19"/>
      <c r="D47" s="19"/>
      <c r="E47" s="19"/>
      <c r="F47" s="19"/>
      <c r="G47" s="19"/>
      <c r="H47" s="19"/>
      <c r="I47" s="19"/>
    </row>
    <row r="48" customFormat="false" ht="57" hidden="false" customHeight="true" outlineLevel="0" collapsed="false">
      <c r="B48" s="34" t="s">
        <v>222</v>
      </c>
      <c r="C48" s="35" t="s">
        <v>223</v>
      </c>
      <c r="D48" s="36" t="s">
        <v>224</v>
      </c>
    </row>
    <row r="49" customFormat="false" ht="34.5" hidden="false" customHeight="true" outlineLevel="0" collapsed="false">
      <c r="B49" s="8" t="s">
        <v>225</v>
      </c>
      <c r="C49" s="37" t="n">
        <f aca="false">Modelo!J52</f>
        <v>61.719815737804</v>
      </c>
      <c r="D49" s="38" t="n">
        <f aca="false">Modelo!J52/Hipotesis!$C$6-1</f>
        <v>-0.290739878903655</v>
      </c>
    </row>
    <row r="50" customFormat="false" ht="34.5" hidden="false" customHeight="true" outlineLevel="0" collapsed="false">
      <c r="B50" s="8" t="s">
        <v>226</v>
      </c>
      <c r="C50" s="37" t="n">
        <f aca="false">Modelo!J53</f>
        <v>54.2297678371919</v>
      </c>
      <c r="D50" s="38" t="n">
        <f aca="false">Modelo!J53/Hipotesis!$C$6-1</f>
        <v>-0.376812596676719</v>
      </c>
    </row>
    <row r="51" customFormat="false" ht="23.25" hidden="false" customHeight="true" outlineLevel="0" collapsed="false">
      <c r="B51" s="8" t="s">
        <v>227</v>
      </c>
      <c r="C51" s="37" t="n">
        <f aca="false">Modelo!J54</f>
        <v>86.2089498839028</v>
      </c>
      <c r="D51" s="38" t="n">
        <f aca="false">Modelo!J54/Hipotesis!$C$6-1</f>
        <v>-0.00932027253616685</v>
      </c>
    </row>
    <row r="52" customFormat="false" ht="23.25" hidden="false" customHeight="true" outlineLevel="0" collapsed="false">
      <c r="B52" s="8" t="s">
        <v>228</v>
      </c>
      <c r="C52" s="37" t="n">
        <f aca="false">Modelo!J55</f>
        <v>100.264810121124</v>
      </c>
      <c r="D52" s="38" t="n">
        <f aca="false">Modelo!J55/Hipotesis!$C$6-1</f>
        <v>0.152204207321579</v>
      </c>
    </row>
    <row r="53" customFormat="false" ht="23.25" hidden="false" customHeight="true" outlineLevel="0" collapsed="false">
      <c r="B53" s="8" t="s">
        <v>229</v>
      </c>
      <c r="C53" s="37" t="n">
        <f aca="false">Modelo!J56</f>
        <v>75.9094359308245</v>
      </c>
      <c r="D53" s="38" t="n">
        <f aca="false">Modelo!J56/Hipotesis!$C$6-1</f>
        <v>-0.127678281649914</v>
      </c>
    </row>
    <row r="54" customFormat="false" ht="23.25" hidden="false" customHeight="true" outlineLevel="0" collapsed="false">
      <c r="B54" s="8" t="s">
        <v>230</v>
      </c>
      <c r="C54" s="37" t="n">
        <f aca="false">Modelo!J57</f>
        <v>86.4239555639955</v>
      </c>
      <c r="D54" s="38" t="n">
        <f aca="false">Modelo!J57/Hipotesis!$C$6-1</f>
        <v>-0.00684951087111607</v>
      </c>
    </row>
    <row r="55" customFormat="false" ht="23.25" hidden="false" customHeight="true" outlineLevel="0" collapsed="false">
      <c r="B55" s="8" t="s">
        <v>231</v>
      </c>
      <c r="C55" s="37" t="n">
        <f aca="false">Modelo!J58</f>
        <v>78.6771729965819</v>
      </c>
      <c r="D55" s="38" t="n">
        <f aca="false">Modelo!J58/Hipotesis!$C$6-1</f>
        <v>-0.0958725235970829</v>
      </c>
    </row>
    <row r="56" customFormat="false" ht="23.25" hidden="false" customHeight="true" outlineLevel="0" collapsed="false">
      <c r="B56" s="8" t="s">
        <v>232</v>
      </c>
      <c r="C56" s="37" t="n">
        <f aca="false">Modelo!J59</f>
        <v>73.0723153247247</v>
      </c>
      <c r="D56" s="38" t="n">
        <f aca="false">Modelo!J59/Hipotesis!$C$6-1</f>
        <v>-0.160281368366759</v>
      </c>
    </row>
    <row r="57" customFormat="false" ht="23.25" hidden="false" customHeight="true" outlineLevel="0" collapsed="false">
      <c r="B57" s="39" t="s">
        <v>233</v>
      </c>
      <c r="C57" s="40" t="n">
        <f aca="false">MEDIAN(C49:C56)</f>
        <v>77.2933044637032</v>
      </c>
      <c r="D57" s="41" t="n">
        <f aca="false">C57/Hipotesis!$C$6-1</f>
        <v>-0.111775402623499</v>
      </c>
    </row>
    <row r="58" customFormat="false" ht="23.25" hidden="false" customHeight="true" outlineLevel="0" collapsed="false">
      <c r="B58" s="8" t="s">
        <v>234</v>
      </c>
      <c r="C58" s="37" t="n">
        <f aca="false">AVERAGE(C49:C56)</f>
        <v>77.0632779245186</v>
      </c>
      <c r="D58" s="38" t="n">
        <f aca="false">C58/Hipotesis!$C$6-1</f>
        <v>-0.114418778159979</v>
      </c>
    </row>
    <row r="59" customFormat="false" ht="15" hidden="false" customHeight="true" outlineLevel="0" collapsed="false">
      <c r="B59" s="8" t="s">
        <v>235</v>
      </c>
      <c r="C59" s="42" t="str">
        <f aca="false">TEXT(MIN(C49:C56),"$#,##0")&amp;" – "&amp;TEXT(MAX(C49:C56),"$#,##0")</f>
        <v>$54 – $100</v>
      </c>
      <c r="D59" s="42"/>
    </row>
    <row r="61" customFormat="false" ht="19.5" hidden="false" customHeight="true" outlineLevel="0" collapsed="false">
      <c r="B61" s="19" t="s">
        <v>236</v>
      </c>
      <c r="C61" s="19"/>
      <c r="D61" s="19"/>
      <c r="E61" s="19"/>
      <c r="F61" s="19"/>
      <c r="G61" s="19"/>
      <c r="H61" s="19"/>
      <c r="I61" s="19"/>
    </row>
    <row r="62" customFormat="false" ht="23.25" hidden="false" customHeight="true" outlineLevel="0" collapsed="false">
      <c r="B62" s="20" t="s">
        <v>237</v>
      </c>
      <c r="C62" s="43" t="n">
        <f aca="false">C57</f>
        <v>77.2933044637032</v>
      </c>
      <c r="D62" s="44" t="s">
        <v>238</v>
      </c>
      <c r="E62" s="45" t="n">
        <f aca="false">C57/Hipotesis!$C$6-1</f>
        <v>-0.111775402623499</v>
      </c>
    </row>
    <row r="64" customFormat="false" ht="36" hidden="false" customHeight="true" outlineLevel="0" collapsed="false">
      <c r="B64" s="46" t="s">
        <v>239</v>
      </c>
      <c r="C64" s="46"/>
      <c r="D64" s="46"/>
      <c r="E64" s="46"/>
      <c r="F64" s="46"/>
      <c r="G64" s="46"/>
      <c r="H64" s="46"/>
      <c r="I64" s="46"/>
    </row>
    <row r="65" customFormat="false" ht="36" hidden="false" customHeight="true" outlineLevel="0" collapsed="false">
      <c r="B65" s="46" t="s">
        <v>240</v>
      </c>
      <c r="C65" s="46"/>
      <c r="D65" s="46"/>
      <c r="E65" s="46"/>
      <c r="F65" s="46"/>
      <c r="G65" s="46"/>
      <c r="H65" s="46"/>
      <c r="I65" s="46"/>
    </row>
    <row r="66" customFormat="false" ht="36" hidden="false" customHeight="true" outlineLevel="0" collapsed="false">
      <c r="B66" s="46" t="s">
        <v>241</v>
      </c>
      <c r="C66" s="46"/>
      <c r="D66" s="46"/>
      <c r="E66" s="46"/>
      <c r="F66" s="46"/>
      <c r="G66" s="46"/>
      <c r="H66" s="46"/>
      <c r="I66" s="46"/>
    </row>
    <row r="67" customFormat="false" ht="36" hidden="false" customHeight="true" outlineLevel="0" collapsed="false">
      <c r="B67" s="46" t="s">
        <v>242</v>
      </c>
      <c r="C67" s="46"/>
      <c r="D67" s="46"/>
      <c r="E67" s="46"/>
      <c r="F67" s="46"/>
      <c r="G67" s="46"/>
      <c r="H67" s="46"/>
      <c r="I67" s="46"/>
    </row>
    <row r="68" customFormat="false" ht="36" hidden="false" customHeight="true" outlineLevel="0" collapsed="false">
      <c r="B68" s="46" t="s">
        <v>243</v>
      </c>
      <c r="C68" s="46"/>
      <c r="D68" s="46"/>
      <c r="E68" s="46"/>
      <c r="F68" s="46"/>
      <c r="G68" s="46"/>
      <c r="H68" s="46"/>
      <c r="I68" s="46"/>
    </row>
    <row r="69" customFormat="false" ht="36" hidden="false" customHeight="true" outlineLevel="0" collapsed="false">
      <c r="B69" s="46" t="s">
        <v>244</v>
      </c>
      <c r="C69" s="46"/>
      <c r="D69" s="46"/>
      <c r="E69" s="46"/>
      <c r="F69" s="46"/>
      <c r="G69" s="46"/>
      <c r="H69" s="46"/>
      <c r="I69" s="46"/>
    </row>
    <row r="70" customFormat="false" ht="36" hidden="false" customHeight="true" outlineLevel="0" collapsed="false">
      <c r="B70" s="46" t="s">
        <v>245</v>
      </c>
      <c r="C70" s="46"/>
      <c r="D70" s="46"/>
      <c r="E70" s="46"/>
      <c r="F70" s="46"/>
      <c r="G70" s="46"/>
      <c r="H70" s="46"/>
      <c r="I70" s="46"/>
    </row>
    <row r="72" customFormat="false" ht="15" hidden="false" customHeight="true" outlineLevel="0" collapsed="false">
      <c r="B72" s="26" t="s">
        <v>246</v>
      </c>
      <c r="C72" s="26"/>
      <c r="D72" s="26"/>
      <c r="E72" s="26"/>
      <c r="F72" s="26"/>
      <c r="G72" s="26"/>
      <c r="H72" s="26"/>
      <c r="I72" s="26"/>
    </row>
  </sheetData>
  <mergeCells count="26">
    <mergeCell ref="B2:I2"/>
    <mergeCell ref="B3:I3"/>
    <mergeCell ref="B5:I5"/>
    <mergeCell ref="B17:I17"/>
    <mergeCell ref="E18:I18"/>
    <mergeCell ref="E19:I19"/>
    <mergeCell ref="E20:I20"/>
    <mergeCell ref="E21:I21"/>
    <mergeCell ref="E22:I22"/>
    <mergeCell ref="E23:I23"/>
    <mergeCell ref="E26:I26"/>
    <mergeCell ref="E27:I27"/>
    <mergeCell ref="E28:I28"/>
    <mergeCell ref="E29:I29"/>
    <mergeCell ref="B33:I33"/>
    <mergeCell ref="B47:I47"/>
    <mergeCell ref="C59:D59"/>
    <mergeCell ref="B61:I61"/>
    <mergeCell ref="B64:I64"/>
    <mergeCell ref="B65:I65"/>
    <mergeCell ref="B66:I66"/>
    <mergeCell ref="B67:I67"/>
    <mergeCell ref="B68:I68"/>
    <mergeCell ref="B69:I69"/>
    <mergeCell ref="B70:I70"/>
    <mergeCell ref="B72:I7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2"/>
    <col collapsed="false" customWidth="true" hidden="false" outlineLevel="0" max="10" min="3" style="1" width="14"/>
  </cols>
  <sheetData>
    <row r="1" customFormat="false" ht="30" hidden="false" customHeight="true" outlineLevel="0" collapsed="false">
      <c r="B1" s="47" t="s">
        <v>247</v>
      </c>
      <c r="C1" s="47"/>
      <c r="D1" s="47"/>
      <c r="E1" s="47"/>
      <c r="F1" s="47"/>
      <c r="G1" s="47"/>
      <c r="H1" s="47"/>
      <c r="I1" s="47"/>
      <c r="J1" s="47"/>
    </row>
    <row r="2" customFormat="false" ht="15" hidden="false" customHeight="true" outlineLevel="0" collapsed="false">
      <c r="B2" s="48" t="s">
        <v>248</v>
      </c>
      <c r="C2" s="49" t="s">
        <v>249</v>
      </c>
      <c r="D2" s="50" t="s">
        <v>250</v>
      </c>
      <c r="E2" s="51" t="s">
        <v>251</v>
      </c>
      <c r="F2" s="52" t="s">
        <v>252</v>
      </c>
      <c r="G2" s="53" t="s">
        <v>253</v>
      </c>
    </row>
    <row r="4" customFormat="false" ht="21.75" hidden="false" customHeight="true" outlineLevel="0" collapsed="false">
      <c r="B4" s="54" t="s">
        <v>254</v>
      </c>
      <c r="C4" s="54"/>
      <c r="D4" s="54"/>
      <c r="E4" s="54"/>
      <c r="F4" s="54"/>
      <c r="G4" s="54"/>
      <c r="H4" s="54"/>
      <c r="I4" s="54"/>
      <c r="J4" s="54"/>
    </row>
    <row r="5" customFormat="false" ht="15" hidden="false" customHeight="true" outlineLevel="0" collapsed="false">
      <c r="B5" s="55" t="s">
        <v>255</v>
      </c>
      <c r="C5" s="55" t="s">
        <v>256</v>
      </c>
      <c r="D5" s="56" t="s">
        <v>257</v>
      </c>
      <c r="E5" s="56"/>
      <c r="F5" s="56"/>
      <c r="G5" s="56"/>
      <c r="H5" s="56"/>
      <c r="I5" s="56"/>
    </row>
    <row r="6" customFormat="false" ht="15" hidden="false" customHeight="true" outlineLevel="0" collapsed="false">
      <c r="B6" s="57" t="s">
        <v>258</v>
      </c>
      <c r="C6" s="58" t="n">
        <v>87.02</v>
      </c>
      <c r="D6" s="59" t="s">
        <v>259</v>
      </c>
      <c r="E6" s="59"/>
      <c r="F6" s="59"/>
      <c r="G6" s="59"/>
      <c r="H6" s="59"/>
      <c r="I6" s="59"/>
    </row>
    <row r="7" customFormat="false" ht="15" hidden="false" customHeight="true" outlineLevel="0" collapsed="false">
      <c r="B7" s="57" t="s">
        <v>260</v>
      </c>
      <c r="C7" s="60" t="n">
        <v>4298.4</v>
      </c>
      <c r="D7" s="59" t="s">
        <v>261</v>
      </c>
      <c r="E7" s="59"/>
      <c r="F7" s="59"/>
      <c r="G7" s="59"/>
      <c r="H7" s="59"/>
      <c r="I7" s="59"/>
    </row>
    <row r="8" customFormat="false" ht="15" hidden="false" customHeight="true" outlineLevel="0" collapsed="false">
      <c r="B8" s="57" t="s">
        <v>262</v>
      </c>
      <c r="C8" s="61" t="n">
        <v>4212.8</v>
      </c>
      <c r="D8" s="59" t="s">
        <v>263</v>
      </c>
      <c r="E8" s="59"/>
      <c r="F8" s="59"/>
      <c r="G8" s="59"/>
      <c r="H8" s="59"/>
      <c r="I8" s="59"/>
    </row>
    <row r="9" customFormat="false" ht="15" hidden="false" customHeight="true" outlineLevel="0" collapsed="false">
      <c r="B9" s="57" t="s">
        <v>264</v>
      </c>
      <c r="C9" s="62" t="n">
        <v>0.0454</v>
      </c>
      <c r="D9" s="59" t="s">
        <v>265</v>
      </c>
      <c r="E9" s="59"/>
      <c r="F9" s="59"/>
      <c r="G9" s="59"/>
      <c r="H9" s="59"/>
      <c r="I9" s="59"/>
    </row>
    <row r="10" customFormat="false" ht="15" hidden="false" customHeight="true" outlineLevel="0" collapsed="false">
      <c r="B10" s="57" t="s">
        <v>266</v>
      </c>
      <c r="C10" s="62" t="n">
        <v>0.0423</v>
      </c>
      <c r="D10" s="59" t="s">
        <v>267</v>
      </c>
      <c r="E10" s="59"/>
      <c r="F10" s="59"/>
      <c r="G10" s="59"/>
      <c r="H10" s="59"/>
      <c r="I10" s="59"/>
    </row>
    <row r="11" customFormat="false" ht="15" hidden="false" customHeight="true" outlineLevel="0" collapsed="false">
      <c r="B11" s="57" t="s">
        <v>268</v>
      </c>
      <c r="C11" s="63" t="n">
        <v>1.25</v>
      </c>
      <c r="D11" s="59" t="s">
        <v>269</v>
      </c>
      <c r="E11" s="59"/>
      <c r="F11" s="59"/>
      <c r="G11" s="59"/>
      <c r="H11" s="59"/>
      <c r="I11" s="59"/>
    </row>
    <row r="12" customFormat="false" ht="15" hidden="false" customHeight="true" outlineLevel="0" collapsed="false">
      <c r="B12" s="57" t="s">
        <v>270</v>
      </c>
      <c r="C12" s="64" t="n">
        <v>0.0525</v>
      </c>
      <c r="D12" s="59" t="s">
        <v>271</v>
      </c>
      <c r="E12" s="59"/>
      <c r="F12" s="59"/>
      <c r="G12" s="59"/>
      <c r="H12" s="59"/>
      <c r="I12" s="59"/>
    </row>
    <row r="13" customFormat="false" ht="15" hidden="false" customHeight="true" outlineLevel="0" collapsed="false">
      <c r="B13" s="57" t="s">
        <v>272</v>
      </c>
      <c r="C13" s="65" t="n">
        <v>0.2</v>
      </c>
      <c r="D13" s="59" t="s">
        <v>273</v>
      </c>
      <c r="E13" s="59"/>
      <c r="F13" s="59"/>
      <c r="G13" s="59"/>
      <c r="H13" s="59"/>
      <c r="I13" s="59"/>
    </row>
    <row r="14" customFormat="false" ht="15" hidden="false" customHeight="true" outlineLevel="0" collapsed="false">
      <c r="B14" s="57" t="s">
        <v>274</v>
      </c>
      <c r="C14" s="66" t="n">
        <v>13464</v>
      </c>
      <c r="D14" s="59" t="s">
        <v>275</v>
      </c>
      <c r="E14" s="59"/>
      <c r="F14" s="59"/>
      <c r="G14" s="59"/>
      <c r="H14" s="59"/>
      <c r="I14" s="59"/>
    </row>
    <row r="15" customFormat="false" ht="15" hidden="false" customHeight="true" outlineLevel="0" collapsed="false">
      <c r="B15" s="57" t="s">
        <v>276</v>
      </c>
      <c r="C15" s="66" t="n">
        <v>9062</v>
      </c>
      <c r="D15" s="59" t="s">
        <v>277</v>
      </c>
      <c r="E15" s="59"/>
      <c r="F15" s="59"/>
      <c r="G15" s="59"/>
      <c r="H15" s="59"/>
      <c r="I15" s="59"/>
    </row>
    <row r="16" customFormat="false" ht="15" hidden="false" customHeight="true" outlineLevel="0" collapsed="false">
      <c r="B16" s="57" t="s">
        <v>278</v>
      </c>
      <c r="C16" s="66" t="n">
        <v>0</v>
      </c>
      <c r="D16" s="59" t="s">
        <v>279</v>
      </c>
      <c r="E16" s="59"/>
      <c r="F16" s="59"/>
      <c r="G16" s="59"/>
      <c r="H16" s="59"/>
      <c r="I16" s="59"/>
    </row>
    <row r="18" customFormat="false" ht="21.75" hidden="false" customHeight="true" outlineLevel="0" collapsed="false">
      <c r="B18" s="54" t="s">
        <v>280</v>
      </c>
      <c r="C18" s="54"/>
      <c r="D18" s="54"/>
      <c r="E18" s="54"/>
    </row>
    <row r="19" customFormat="false" ht="15" hidden="false" customHeight="true" outlineLevel="0" collapsed="false">
      <c r="B19" s="57" t="s">
        <v>281</v>
      </c>
      <c r="C19" s="67" t="n">
        <f aca="false">Hipotesis!$C$9 + Hipotesis!$C$11*Hipotesis!$C$10</f>
        <v>0.098275</v>
      </c>
    </row>
    <row r="20" customFormat="false" ht="15" hidden="false" customHeight="true" outlineLevel="0" collapsed="false">
      <c r="B20" s="57" t="s">
        <v>282</v>
      </c>
      <c r="C20" s="67" t="n">
        <f aca="false">Hipotesis!$C$12 * (1 - Hipotesis!$C$13)</f>
        <v>0.042</v>
      </c>
    </row>
    <row r="21" customFormat="false" ht="15" hidden="false" customHeight="true" outlineLevel="0" collapsed="false">
      <c r="B21" s="57" t="s">
        <v>283</v>
      </c>
      <c r="C21" s="68" t="n">
        <f aca="false">Hipotesis!$C$6 * Hipotesis!$C$8</f>
        <v>366597.856</v>
      </c>
    </row>
    <row r="22" customFormat="false" ht="15" hidden="false" customHeight="true" outlineLevel="0" collapsed="false">
      <c r="B22" s="57" t="s">
        <v>284</v>
      </c>
      <c r="C22" s="68" t="n">
        <f aca="false">Hipotesis!$C$21 + Hipotesis!$C$14</f>
        <v>380061.856</v>
      </c>
    </row>
    <row r="23" customFormat="false" ht="15" hidden="false" customHeight="true" outlineLevel="0" collapsed="false">
      <c r="B23" s="57" t="s">
        <v>285</v>
      </c>
      <c r="C23" s="69" t="n">
        <f aca="false">Hipotesis!$C$21 / Hipotesis!$C$22</f>
        <v>0.964574187629079</v>
      </c>
    </row>
    <row r="24" customFormat="false" ht="15" hidden="false" customHeight="true" outlineLevel="0" collapsed="false">
      <c r="B24" s="57" t="s">
        <v>286</v>
      </c>
      <c r="C24" s="69" t="n">
        <f aca="false">Hipotesis!$C$14 / Hipotesis!$C$22</f>
        <v>0.035425812370921</v>
      </c>
    </row>
    <row r="25" customFormat="false" ht="15" hidden="false" customHeight="true" outlineLevel="0" collapsed="false">
      <c r="B25" s="57" t="s">
        <v>287</v>
      </c>
      <c r="C25" s="70" t="n">
        <f aca="false">Hipotesis!$C$23*Hipotesis!$C$19 + Hipotesis!$C$24*Hipotesis!$C$20</f>
        <v>0.0962814124088264</v>
      </c>
    </row>
    <row r="28" customFormat="false" ht="21.75" hidden="false" customHeight="true" outlineLevel="0" collapsed="false">
      <c r="B28" s="54" t="s">
        <v>288</v>
      </c>
      <c r="C28" s="54"/>
      <c r="D28" s="54"/>
      <c r="E28" s="54"/>
      <c r="F28" s="54"/>
      <c r="G28" s="54"/>
      <c r="H28" s="54"/>
      <c r="I28" s="54"/>
      <c r="J28" s="54"/>
    </row>
    <row r="29" customFormat="false" ht="15" hidden="false" customHeight="true" outlineLevel="0" collapsed="false">
      <c r="B29" s="55" t="s">
        <v>289</v>
      </c>
      <c r="C29" s="71" t="s">
        <v>290</v>
      </c>
      <c r="D29" s="71" t="s">
        <v>291</v>
      </c>
      <c r="E29" s="71" t="s">
        <v>292</v>
      </c>
      <c r="F29" s="71" t="s">
        <v>293</v>
      </c>
      <c r="G29" s="71" t="s">
        <v>294</v>
      </c>
      <c r="H29" s="71" t="s">
        <v>295</v>
      </c>
    </row>
    <row r="30" customFormat="false" ht="54.75" hidden="false" customHeight="true" outlineLevel="0" collapsed="false">
      <c r="B30" s="57" t="s">
        <v>296</v>
      </c>
      <c r="C30" s="72" t="n">
        <v>0.1</v>
      </c>
      <c r="D30" s="72" t="n">
        <v>0.08</v>
      </c>
      <c r="E30" s="72" t="n">
        <v>0.07</v>
      </c>
      <c r="F30" s="72" t="n">
        <v>0.06</v>
      </c>
      <c r="G30" s="72" t="n">
        <v>0.05</v>
      </c>
      <c r="H30" s="65" t="n">
        <v>0.03</v>
      </c>
      <c r="J30" s="73" t="s">
        <v>297</v>
      </c>
    </row>
    <row r="31" customFormat="false" ht="63.75" hidden="false" customHeight="true" outlineLevel="0" collapsed="false">
      <c r="B31" s="57" t="s">
        <v>298</v>
      </c>
      <c r="C31" s="72" t="n">
        <v>1</v>
      </c>
      <c r="D31" s="72" t="n">
        <v>0.6</v>
      </c>
      <c r="E31" s="72" t="n">
        <v>0.4</v>
      </c>
      <c r="F31" s="72" t="n">
        <v>0.25</v>
      </c>
      <c r="G31" s="72" t="n">
        <v>0.15</v>
      </c>
      <c r="H31" s="65" t="n">
        <v>0.05</v>
      </c>
      <c r="J31" s="73" t="s">
        <v>299</v>
      </c>
    </row>
    <row r="32" customFormat="false" ht="45.75" hidden="false" customHeight="true" outlineLevel="0" collapsed="false">
      <c r="B32" s="57" t="s">
        <v>300</v>
      </c>
      <c r="C32" s="72" t="n">
        <v>0.5</v>
      </c>
      <c r="D32" s="72" t="n">
        <v>0.4</v>
      </c>
      <c r="E32" s="72" t="n">
        <v>0.3</v>
      </c>
      <c r="F32" s="72" t="n">
        <v>0.2</v>
      </c>
      <c r="G32" s="72" t="n">
        <v>0.15</v>
      </c>
      <c r="H32" s="65" t="n">
        <v>0.05</v>
      </c>
      <c r="J32" s="73" t="s">
        <v>301</v>
      </c>
    </row>
    <row r="33" customFormat="false" ht="54.75" hidden="false" customHeight="true" outlineLevel="0" collapsed="false">
      <c r="B33" s="57" t="s">
        <v>302</v>
      </c>
      <c r="C33" s="72" t="n">
        <v>0.33</v>
      </c>
      <c r="D33" s="72" t="n">
        <v>0.34</v>
      </c>
      <c r="E33" s="72" t="n">
        <v>0.35</v>
      </c>
      <c r="F33" s="72" t="n">
        <v>0.355</v>
      </c>
      <c r="G33" s="72" t="n">
        <v>0.36</v>
      </c>
      <c r="H33" s="65" t="n">
        <v>0.36</v>
      </c>
      <c r="J33" s="73" t="s">
        <v>303</v>
      </c>
    </row>
    <row r="34" customFormat="false" ht="45.75" hidden="false" customHeight="true" outlineLevel="0" collapsed="false">
      <c r="B34" s="57" t="s">
        <v>304</v>
      </c>
      <c r="C34" s="72" t="n">
        <v>0.05</v>
      </c>
      <c r="D34" s="72" t="n">
        <v>0.12</v>
      </c>
      <c r="E34" s="72" t="n">
        <v>0.18</v>
      </c>
      <c r="F34" s="72" t="n">
        <v>0.23</v>
      </c>
      <c r="G34" s="72" t="n">
        <v>0.28</v>
      </c>
      <c r="H34" s="65" t="n">
        <v>0.3</v>
      </c>
      <c r="J34" s="73" t="s">
        <v>305</v>
      </c>
    </row>
    <row r="35" customFormat="false" ht="45.75" hidden="false" customHeight="true" outlineLevel="0" collapsed="false">
      <c r="B35" s="57" t="s">
        <v>306</v>
      </c>
      <c r="C35" s="72" t="n">
        <v>0.05</v>
      </c>
      <c r="D35" s="72" t="n">
        <v>0.1</v>
      </c>
      <c r="E35" s="72" t="n">
        <v>0.12</v>
      </c>
      <c r="F35" s="72" t="n">
        <v>0.15</v>
      </c>
      <c r="G35" s="72" t="n">
        <v>0.18</v>
      </c>
      <c r="H35" s="65" t="n">
        <v>0.2</v>
      </c>
      <c r="J35" s="73" t="s">
        <v>307</v>
      </c>
    </row>
    <row r="37" customFormat="false" ht="21.75" hidden="false" customHeight="true" outlineLevel="0" collapsed="false">
      <c r="B37" s="54" t="s">
        <v>308</v>
      </c>
      <c r="C37" s="54"/>
      <c r="D37" s="54"/>
      <c r="E37" s="54"/>
      <c r="F37" s="54"/>
      <c r="G37" s="54"/>
      <c r="H37" s="54"/>
      <c r="I37" s="54"/>
      <c r="J37" s="54"/>
    </row>
    <row r="38" customFormat="false" ht="15" hidden="false" customHeight="true" outlineLevel="0" collapsed="false">
      <c r="B38" s="74" t="s">
        <v>309</v>
      </c>
      <c r="C38" s="71" t="s">
        <v>290</v>
      </c>
      <c r="D38" s="71" t="s">
        <v>291</v>
      </c>
      <c r="E38" s="71" t="s">
        <v>292</v>
      </c>
      <c r="F38" s="71" t="s">
        <v>293</v>
      </c>
      <c r="G38" s="71" t="s">
        <v>294</v>
      </c>
      <c r="H38" s="71" t="s">
        <v>295</v>
      </c>
    </row>
    <row r="39" customFormat="false" ht="63.75" hidden="false" customHeight="true" outlineLevel="0" collapsed="false">
      <c r="B39" s="57" t="s">
        <v>310</v>
      </c>
      <c r="C39" s="72" t="n">
        <v>0.015</v>
      </c>
      <c r="D39" s="72" t="n">
        <v>0.015</v>
      </c>
      <c r="E39" s="72" t="n">
        <v>0.015</v>
      </c>
      <c r="F39" s="72" t="n">
        <v>0.014</v>
      </c>
      <c r="G39" s="72" t="n">
        <v>0.014</v>
      </c>
      <c r="H39" s="72" t="n">
        <v>0.013</v>
      </c>
      <c r="J39" s="73" t="s">
        <v>311</v>
      </c>
    </row>
    <row r="40" customFormat="false" ht="45.75" hidden="false" customHeight="true" outlineLevel="0" collapsed="false">
      <c r="B40" s="57" t="s">
        <v>312</v>
      </c>
      <c r="C40" s="72" t="n">
        <v>0.008</v>
      </c>
      <c r="D40" s="72" t="n">
        <v>0.008</v>
      </c>
      <c r="E40" s="72" t="n">
        <v>0.008</v>
      </c>
      <c r="F40" s="72" t="n">
        <v>0.008</v>
      </c>
      <c r="G40" s="72" t="n">
        <v>0.008</v>
      </c>
      <c r="H40" s="72" t="n">
        <v>0.008</v>
      </c>
      <c r="J40" s="73" t="s">
        <v>313</v>
      </c>
    </row>
    <row r="41" customFormat="false" ht="36.75" hidden="false" customHeight="true" outlineLevel="0" collapsed="false">
      <c r="B41" s="57" t="s">
        <v>314</v>
      </c>
      <c r="C41" s="65" t="n">
        <v>0.012</v>
      </c>
      <c r="D41" s="65" t="n">
        <v>0.012</v>
      </c>
      <c r="E41" s="65" t="n">
        <v>0.012</v>
      </c>
      <c r="F41" s="65" t="n">
        <v>0.012</v>
      </c>
      <c r="G41" s="65" t="n">
        <v>0.012</v>
      </c>
      <c r="H41" s="65" t="n">
        <v>0.012</v>
      </c>
      <c r="J41" s="73" t="s">
        <v>315</v>
      </c>
    </row>
    <row r="42" customFormat="false" ht="45.75" hidden="false" customHeight="true" outlineLevel="0" collapsed="false">
      <c r="B42" s="57" t="s">
        <v>316</v>
      </c>
      <c r="C42" s="65" t="n">
        <v>-0.005</v>
      </c>
      <c r="D42" s="65" t="n">
        <v>-0.005</v>
      </c>
      <c r="E42" s="65" t="n">
        <v>-0.005</v>
      </c>
      <c r="F42" s="65" t="n">
        <v>0</v>
      </c>
      <c r="G42" s="65" t="n">
        <v>0</v>
      </c>
      <c r="H42" s="65" t="n">
        <v>0</v>
      </c>
      <c r="J42" s="73" t="s">
        <v>317</v>
      </c>
    </row>
    <row r="43" customFormat="false" ht="45.75" hidden="false" customHeight="true" outlineLevel="0" collapsed="false">
      <c r="B43" s="57" t="s">
        <v>318</v>
      </c>
      <c r="C43" s="65" t="n">
        <v>0.85</v>
      </c>
      <c r="D43" s="65" t="n">
        <v>0.85</v>
      </c>
      <c r="E43" s="65" t="n">
        <v>0.85</v>
      </c>
      <c r="F43" s="65" t="n">
        <v>0.8</v>
      </c>
      <c r="G43" s="65" t="n">
        <v>0.8</v>
      </c>
      <c r="H43" s="65" t="n">
        <v>0.75</v>
      </c>
      <c r="J43" s="73" t="s">
        <v>319</v>
      </c>
    </row>
    <row r="45" customFormat="false" ht="21.75" hidden="false" customHeight="true" outlineLevel="0" collapsed="false">
      <c r="B45" s="54" t="s">
        <v>320</v>
      </c>
      <c r="C45" s="54"/>
      <c r="D45" s="54"/>
      <c r="E45" s="54"/>
      <c r="F45" s="54"/>
      <c r="G45" s="54"/>
      <c r="H45" s="54"/>
      <c r="I45" s="54"/>
      <c r="J45" s="54"/>
    </row>
    <row r="46" customFormat="false" ht="15" hidden="false" customHeight="true" outlineLevel="0" collapsed="false">
      <c r="B46" s="55" t="s">
        <v>255</v>
      </c>
      <c r="C46" s="55" t="s">
        <v>256</v>
      </c>
      <c r="D46" s="56" t="s">
        <v>321</v>
      </c>
      <c r="E46" s="56"/>
      <c r="F46" s="56"/>
      <c r="G46" s="56"/>
      <c r="H46" s="56"/>
      <c r="I46" s="56"/>
    </row>
    <row r="47" customFormat="false" ht="15" hidden="false" customHeight="true" outlineLevel="0" collapsed="false">
      <c r="B47" s="57" t="s">
        <v>322</v>
      </c>
      <c r="C47" s="72" t="n">
        <v>0.03</v>
      </c>
      <c r="D47" s="59" t="s">
        <v>323</v>
      </c>
      <c r="E47" s="59"/>
      <c r="F47" s="59"/>
      <c r="G47" s="59"/>
      <c r="H47" s="59"/>
      <c r="I47" s="59"/>
    </row>
    <row r="48" customFormat="false" ht="15" hidden="false" customHeight="true" outlineLevel="0" collapsed="false">
      <c r="B48" s="57" t="s">
        <v>324</v>
      </c>
      <c r="C48" s="75" t="n">
        <v>5</v>
      </c>
      <c r="D48" s="59" t="s">
        <v>325</v>
      </c>
      <c r="E48" s="59"/>
      <c r="F48" s="59"/>
      <c r="G48" s="59"/>
      <c r="H48" s="59"/>
      <c r="I48" s="59"/>
    </row>
    <row r="49" customFormat="false" ht="15" hidden="false" customHeight="true" outlineLevel="0" collapsed="false">
      <c r="B49" s="57" t="s">
        <v>326</v>
      </c>
      <c r="C49" s="72" t="n">
        <v>0.07</v>
      </c>
      <c r="D49" s="59" t="s">
        <v>327</v>
      </c>
      <c r="E49" s="59"/>
      <c r="F49" s="59"/>
      <c r="G49" s="59"/>
      <c r="H49" s="59"/>
      <c r="I49" s="59"/>
    </row>
    <row r="50" customFormat="false" ht="15" hidden="false" customHeight="true" outlineLevel="0" collapsed="false">
      <c r="B50" s="57" t="s">
        <v>328</v>
      </c>
      <c r="C50" s="76" t="n">
        <v>18</v>
      </c>
      <c r="D50" s="59" t="s">
        <v>329</v>
      </c>
      <c r="E50" s="59"/>
      <c r="F50" s="59"/>
      <c r="G50" s="59"/>
      <c r="H50" s="59"/>
      <c r="I50" s="59"/>
    </row>
    <row r="51" customFormat="false" ht="15" hidden="false" customHeight="true" outlineLevel="0" collapsed="false">
      <c r="B51" s="57" t="s">
        <v>330</v>
      </c>
      <c r="C51" s="76" t="n">
        <v>22</v>
      </c>
      <c r="D51" s="59" t="s">
        <v>331</v>
      </c>
      <c r="E51" s="59"/>
      <c r="F51" s="59"/>
      <c r="G51" s="59"/>
      <c r="H51" s="59"/>
      <c r="I51" s="59"/>
    </row>
    <row r="52" customFormat="false" ht="15" hidden="false" customHeight="true" outlineLevel="0" collapsed="false">
      <c r="B52" s="57" t="s">
        <v>332</v>
      </c>
      <c r="C52" s="77" t="n">
        <v>5.5</v>
      </c>
      <c r="D52" s="59" t="s">
        <v>333</v>
      </c>
      <c r="E52" s="59"/>
      <c r="F52" s="59"/>
      <c r="G52" s="59"/>
      <c r="H52" s="59"/>
      <c r="I52" s="59"/>
    </row>
    <row r="53" customFormat="false" ht="15" hidden="false" customHeight="true" outlineLevel="0" collapsed="false">
      <c r="B53" s="57" t="s">
        <v>334</v>
      </c>
      <c r="C53" s="77" t="n">
        <v>25</v>
      </c>
      <c r="D53" s="59" t="s">
        <v>335</v>
      </c>
      <c r="E53" s="59"/>
      <c r="F53" s="59"/>
      <c r="G53" s="59"/>
      <c r="H53" s="59"/>
      <c r="I53" s="59"/>
    </row>
    <row r="54" customFormat="false" ht="15" hidden="false" customHeight="true" outlineLevel="0" collapsed="false">
      <c r="B54" s="57" t="s">
        <v>336</v>
      </c>
      <c r="C54" s="72" t="n">
        <v>0.85</v>
      </c>
      <c r="D54" s="59" t="s">
        <v>337</v>
      </c>
      <c r="E54" s="59"/>
      <c r="F54" s="59"/>
      <c r="G54" s="59"/>
      <c r="H54" s="59"/>
      <c r="I54" s="59"/>
    </row>
    <row r="56" customFormat="false" ht="21.75" hidden="false" customHeight="true" outlineLevel="0" collapsed="false">
      <c r="B56" s="54" t="s">
        <v>338</v>
      </c>
      <c r="C56" s="54"/>
      <c r="D56" s="54"/>
      <c r="E56" s="54"/>
      <c r="F56" s="54"/>
      <c r="G56" s="54"/>
      <c r="H56" s="54"/>
      <c r="I56" s="54"/>
      <c r="J56" s="54"/>
    </row>
    <row r="57" customFormat="false" ht="15" hidden="false" customHeight="true" outlineLevel="0" collapsed="false">
      <c r="B57" s="57" t="s">
        <v>339</v>
      </c>
      <c r="C57" s="78" t="n">
        <v>0</v>
      </c>
      <c r="D57" s="59" t="s">
        <v>340</v>
      </c>
      <c r="E57" s="59"/>
      <c r="F57" s="59"/>
      <c r="G57" s="59"/>
      <c r="H57" s="59"/>
      <c r="I57" s="59"/>
    </row>
    <row r="58" customFormat="false" ht="15" hidden="false" customHeight="true" outlineLevel="0" collapsed="false">
      <c r="B58" s="57" t="s">
        <v>341</v>
      </c>
      <c r="C58" s="79" t="n">
        <v>0</v>
      </c>
      <c r="D58" s="59" t="s">
        <v>342</v>
      </c>
      <c r="E58" s="59"/>
      <c r="F58" s="59"/>
      <c r="G58" s="59"/>
      <c r="H58" s="59"/>
      <c r="I58" s="59"/>
    </row>
    <row r="59" customFormat="false" ht="15" hidden="false" customHeight="true" outlineLevel="0" collapsed="false">
      <c r="B59" s="57" t="s">
        <v>343</v>
      </c>
      <c r="C59" s="78" t="n">
        <v>0</v>
      </c>
      <c r="D59" s="59" t="s">
        <v>344</v>
      </c>
      <c r="E59" s="59"/>
      <c r="F59" s="59"/>
      <c r="G59" s="59"/>
      <c r="H59" s="59"/>
      <c r="I59" s="59"/>
    </row>
  </sheetData>
  <mergeCells count="31">
    <mergeCell ref="B1:J1"/>
    <mergeCell ref="B4:J4"/>
    <mergeCell ref="D5:I5"/>
    <mergeCell ref="D6:I6"/>
    <mergeCell ref="D7:I7"/>
    <mergeCell ref="D8:I8"/>
    <mergeCell ref="D9:I9"/>
    <mergeCell ref="D10:I10"/>
    <mergeCell ref="D11:I11"/>
    <mergeCell ref="D12:I12"/>
    <mergeCell ref="D13:I13"/>
    <mergeCell ref="D14:I14"/>
    <mergeCell ref="D15:I15"/>
    <mergeCell ref="D16:I16"/>
    <mergeCell ref="B18:E18"/>
    <mergeCell ref="B28:J28"/>
    <mergeCell ref="B37:J37"/>
    <mergeCell ref="B45:J45"/>
    <mergeCell ref="D46:I46"/>
    <mergeCell ref="D47:I47"/>
    <mergeCell ref="D48:I48"/>
    <mergeCell ref="D49:I49"/>
    <mergeCell ref="D50:I50"/>
    <mergeCell ref="D51:I51"/>
    <mergeCell ref="D52:I52"/>
    <mergeCell ref="D53:I53"/>
    <mergeCell ref="D54:I54"/>
    <mergeCell ref="B56:J56"/>
    <mergeCell ref="D57:I57"/>
    <mergeCell ref="D58:I58"/>
    <mergeCell ref="D59:I5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1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2"/>
    <col collapsed="false" customWidth="true" hidden="false" outlineLevel="0" max="8" min="3" style="1" width="13"/>
    <col collapsed="false" customWidth="true" hidden="false" outlineLevel="0" max="9" min="9" style="1" width="55"/>
  </cols>
  <sheetData>
    <row r="1" customFormat="false" ht="21.75" hidden="false" customHeight="true" outlineLevel="0" collapsed="false">
      <c r="B1" s="80" t="s">
        <v>345</v>
      </c>
      <c r="C1" s="80"/>
      <c r="D1" s="80"/>
      <c r="E1" s="80"/>
      <c r="F1" s="80"/>
      <c r="G1" s="80"/>
      <c r="H1" s="80"/>
      <c r="I1" s="80"/>
    </row>
    <row r="2" customFormat="false" ht="15" hidden="false" customHeight="true" outlineLevel="0" collapsed="false">
      <c r="B2" s="81" t="s">
        <v>248</v>
      </c>
      <c r="C2" s="82" t="s">
        <v>249</v>
      </c>
      <c r="D2" s="44" t="s">
        <v>346</v>
      </c>
      <c r="E2" s="83" t="s">
        <v>347</v>
      </c>
    </row>
    <row r="4" customFormat="false" ht="15" hidden="false" customHeight="true" outlineLevel="0" collapsed="false">
      <c r="B4" s="84" t="s">
        <v>348</v>
      </c>
      <c r="C4" s="85" t="s">
        <v>349</v>
      </c>
      <c r="D4" s="85" t="s">
        <v>350</v>
      </c>
      <c r="E4" s="85" t="s">
        <v>351</v>
      </c>
      <c r="F4" s="85" t="s">
        <v>352</v>
      </c>
      <c r="G4" s="85" t="s">
        <v>353</v>
      </c>
      <c r="H4" s="85" t="s">
        <v>354</v>
      </c>
    </row>
    <row r="5" customFormat="false" ht="18" hidden="false" customHeight="true" outlineLevel="0" collapsed="false">
      <c r="B5" s="86" t="s">
        <v>355</v>
      </c>
      <c r="C5" s="86"/>
      <c r="D5" s="86"/>
      <c r="E5" s="86"/>
      <c r="F5" s="86"/>
      <c r="G5" s="86"/>
      <c r="H5" s="86"/>
      <c r="I5" s="86"/>
    </row>
    <row r="6" customFormat="false" ht="15" hidden="false" customHeight="true" outlineLevel="0" collapsed="false">
      <c r="B6" s="87" t="s">
        <v>356</v>
      </c>
      <c r="C6" s="88" t="n">
        <v>29698</v>
      </c>
      <c r="D6" s="88" t="n">
        <v>31616</v>
      </c>
      <c r="E6" s="88" t="n">
        <v>33723</v>
      </c>
      <c r="F6" s="88" t="n">
        <v>39001</v>
      </c>
      <c r="G6" s="88" t="n">
        <v>45183</v>
      </c>
      <c r="H6" s="88" t="n">
        <v>12250</v>
      </c>
      <c r="I6" s="89" t="s">
        <v>357</v>
      </c>
    </row>
    <row r="7" customFormat="false" ht="15" hidden="false" customHeight="true" outlineLevel="0" collapsed="false">
      <c r="B7" s="90" t="s">
        <v>358</v>
      </c>
      <c r="C7" s="91" t="s">
        <v>342</v>
      </c>
      <c r="D7" s="92" t="n">
        <f aca="false">D6/C6-1</f>
        <v>0.0645834736345883</v>
      </c>
      <c r="E7" s="92" t="n">
        <f aca="false">E6/D6-1</f>
        <v>0.0666434716599191</v>
      </c>
      <c r="F7" s="92" t="n">
        <f aca="false">F6/E6-1</f>
        <v>0.156510393499985</v>
      </c>
      <c r="G7" s="92" t="n">
        <f aca="false">G6/F6-1</f>
        <v>0.158508756185739</v>
      </c>
      <c r="H7" s="91" t="s">
        <v>359</v>
      </c>
      <c r="I7" s="89" t="s">
        <v>360</v>
      </c>
    </row>
    <row r="8" customFormat="false" ht="15" hidden="false" customHeight="true" outlineLevel="0" collapsed="false">
      <c r="B8" s="87" t="s">
        <v>361</v>
      </c>
      <c r="C8" s="88" t="n">
        <v>17332</v>
      </c>
      <c r="D8" s="88" t="n">
        <v>19169</v>
      </c>
      <c r="E8" s="88" t="n">
        <v>19715</v>
      </c>
      <c r="F8" s="88" t="n">
        <v>21034</v>
      </c>
      <c r="G8" s="88" t="n">
        <v>22045</v>
      </c>
      <c r="H8" s="88" t="n">
        <v>5888</v>
      </c>
      <c r="I8" s="1" t="s">
        <v>362</v>
      </c>
    </row>
    <row r="9" customFormat="false" ht="15" hidden="false" customHeight="true" outlineLevel="0" collapsed="false">
      <c r="B9" s="90" t="s">
        <v>363</v>
      </c>
      <c r="C9" s="92" t="n">
        <f aca="false">C8/C6</f>
        <v>0.583608323792848</v>
      </c>
      <c r="D9" s="92" t="n">
        <f aca="false">D8/D6</f>
        <v>0.606306933198381</v>
      </c>
      <c r="E9" s="92" t="n">
        <f aca="false">E8/E6</f>
        <v>0.584615840820805</v>
      </c>
      <c r="F9" s="92" t="n">
        <f aca="false">F8/F6</f>
        <v>0.539319504628086</v>
      </c>
      <c r="G9" s="92" t="n">
        <f aca="false">G8/G6</f>
        <v>0.487904742934289</v>
      </c>
      <c r="H9" s="92" t="n">
        <f aca="false">H8/H6</f>
        <v>0.48065306122449</v>
      </c>
      <c r="I9" s="89" t="s">
        <v>364</v>
      </c>
    </row>
    <row r="10" customFormat="false" ht="15" hidden="false" customHeight="true" outlineLevel="0" collapsed="false">
      <c r="B10" s="81" t="s">
        <v>365</v>
      </c>
      <c r="C10" s="88" t="n">
        <v>12366</v>
      </c>
      <c r="D10" s="88" t="n">
        <v>12447</v>
      </c>
      <c r="E10" s="88" t="n">
        <v>14008</v>
      </c>
      <c r="F10" s="88" t="n">
        <v>17967</v>
      </c>
      <c r="G10" s="88" t="n">
        <v>23138</v>
      </c>
      <c r="H10" s="88" t="n">
        <v>6362</v>
      </c>
    </row>
    <row r="11" customFormat="false" ht="15" hidden="false" customHeight="true" outlineLevel="0" collapsed="false">
      <c r="B11" s="90" t="s">
        <v>366</v>
      </c>
      <c r="C11" s="92" t="n">
        <f aca="false">C10/C6</f>
        <v>0.416391676207152</v>
      </c>
      <c r="D11" s="92" t="n">
        <f aca="false">D10/D6</f>
        <v>0.393693066801619</v>
      </c>
      <c r="E11" s="92" t="n">
        <f aca="false">E10/E6</f>
        <v>0.415384159179195</v>
      </c>
      <c r="F11" s="92" t="n">
        <f aca="false">F10/F6</f>
        <v>0.460680495371914</v>
      </c>
      <c r="G11" s="92" t="n">
        <f aca="false">G10/G6</f>
        <v>0.512095257065711</v>
      </c>
      <c r="H11" s="92" t="n">
        <f aca="false">H10/H6</f>
        <v>0.51934693877551</v>
      </c>
      <c r="I11" s="89" t="s">
        <v>367</v>
      </c>
    </row>
    <row r="12" customFormat="false" ht="15" hidden="false" customHeight="true" outlineLevel="0" collapsed="false">
      <c r="B12" s="87" t="s">
        <v>368</v>
      </c>
      <c r="C12" s="88" t="n">
        <v>2273</v>
      </c>
      <c r="D12" s="88" t="n">
        <v>2711</v>
      </c>
      <c r="E12" s="88" t="n">
        <v>2674</v>
      </c>
      <c r="F12" s="88" t="n">
        <v>2925</v>
      </c>
      <c r="G12" s="88" t="n">
        <v>3464</v>
      </c>
      <c r="H12" s="88" t="n">
        <v>960</v>
      </c>
      <c r="I12" s="1" t="s">
        <v>369</v>
      </c>
    </row>
    <row r="13" customFormat="false" ht="15" hidden="false" customHeight="true" outlineLevel="0" collapsed="false">
      <c r="B13" s="90" t="s">
        <v>370</v>
      </c>
      <c r="C13" s="92" t="n">
        <f aca="false">C12/C6</f>
        <v>0.0765371405481851</v>
      </c>
      <c r="D13" s="92" t="n">
        <f aca="false">D12/D6</f>
        <v>0.0857477226720648</v>
      </c>
      <c r="E13" s="92" t="n">
        <f aca="false">E12/E6</f>
        <v>0.0792930640808943</v>
      </c>
      <c r="F13" s="92" t="n">
        <f aca="false">F12/F6</f>
        <v>0.0749980769723853</v>
      </c>
      <c r="G13" s="92" t="n">
        <f aca="false">G12/G6</f>
        <v>0.0766660027001306</v>
      </c>
      <c r="H13" s="92" t="n">
        <f aca="false">H12/H6</f>
        <v>0.0783673469387755</v>
      </c>
      <c r="I13" s="89" t="s">
        <v>371</v>
      </c>
    </row>
    <row r="14" customFormat="false" ht="15" hidden="false" customHeight="true" outlineLevel="0" collapsed="false">
      <c r="B14" s="87" t="s">
        <v>372</v>
      </c>
      <c r="C14" s="88" t="n">
        <v>2545</v>
      </c>
      <c r="D14" s="88" t="n">
        <v>2530</v>
      </c>
      <c r="E14" s="88" t="n">
        <v>2554</v>
      </c>
      <c r="F14" s="88" t="n">
        <v>2884</v>
      </c>
      <c r="G14" s="88" t="n">
        <v>3057</v>
      </c>
      <c r="H14" s="88" t="n">
        <v>842</v>
      </c>
      <c r="I14" s="1" t="s">
        <v>373</v>
      </c>
    </row>
    <row r="15" customFormat="false" ht="15" hidden="false" customHeight="true" outlineLevel="0" collapsed="false">
      <c r="B15" s="90" t="s">
        <v>374</v>
      </c>
      <c r="C15" s="92" t="n">
        <f aca="false">C14/C6</f>
        <v>0.0856960064650818</v>
      </c>
      <c r="D15" s="92" t="n">
        <f aca="false">D14/D6</f>
        <v>0.0800227732793522</v>
      </c>
      <c r="E15" s="92" t="n">
        <f aca="false">E14/E6</f>
        <v>0.0757346618035169</v>
      </c>
      <c r="F15" s="92" t="n">
        <f aca="false">F14/F6</f>
        <v>0.0739468218763622</v>
      </c>
      <c r="G15" s="92" t="n">
        <f aca="false">G14/G6</f>
        <v>0.0676581900272226</v>
      </c>
      <c r="H15" s="92" t="n">
        <f aca="false">H14/H6</f>
        <v>0.068734693877551</v>
      </c>
      <c r="I15" s="89" t="s">
        <v>375</v>
      </c>
    </row>
    <row r="16" customFormat="false" ht="15" hidden="false" customHeight="true" outlineLevel="0" collapsed="false">
      <c r="B16" s="87" t="s">
        <v>376</v>
      </c>
      <c r="C16" s="88" t="n">
        <v>1351</v>
      </c>
      <c r="D16" s="88" t="n">
        <v>1572</v>
      </c>
      <c r="E16" s="88" t="n">
        <v>1626</v>
      </c>
      <c r="F16" s="88" t="n">
        <v>1741</v>
      </c>
      <c r="G16" s="88" t="n">
        <v>2245</v>
      </c>
      <c r="H16" s="88" t="n">
        <v>603</v>
      </c>
      <c r="I16" s="1" t="s">
        <v>377</v>
      </c>
    </row>
    <row r="17" customFormat="false" ht="15" hidden="false" customHeight="true" outlineLevel="0" collapsed="false">
      <c r="B17" s="90" t="s">
        <v>378</v>
      </c>
      <c r="C17" s="92" t="n">
        <f aca="false">C16/C6</f>
        <v>0.0454912788739983</v>
      </c>
      <c r="D17" s="92" t="n">
        <f aca="false">D16/D6</f>
        <v>0.0497216599190283</v>
      </c>
      <c r="E17" s="92" t="n">
        <f aca="false">E16/E6</f>
        <v>0.0482163508584646</v>
      </c>
      <c r="F17" s="92" t="n">
        <f aca="false">F16/F6</f>
        <v>0.0446398810286916</v>
      </c>
      <c r="G17" s="92" t="n">
        <f aca="false">G16/G6</f>
        <v>0.0496868291171458</v>
      </c>
      <c r="H17" s="92" t="n">
        <f aca="false">H16/H6</f>
        <v>0.0492244897959184</v>
      </c>
      <c r="I17" s="89" t="s">
        <v>379</v>
      </c>
    </row>
    <row r="18" customFormat="false" ht="15" hidden="false" customHeight="true" outlineLevel="0" collapsed="false">
      <c r="B18" s="81" t="s">
        <v>380</v>
      </c>
      <c r="C18" s="88" t="n">
        <v>6195</v>
      </c>
      <c r="D18" s="88" t="n">
        <v>5633</v>
      </c>
      <c r="E18" s="88" t="n">
        <v>6954</v>
      </c>
      <c r="F18" s="88" t="n">
        <v>10418</v>
      </c>
      <c r="G18" s="88" t="n">
        <v>13327</v>
      </c>
      <c r="H18" s="88" t="n">
        <v>3957</v>
      </c>
      <c r="I18" s="1" t="s">
        <v>381</v>
      </c>
    </row>
    <row r="19" customFormat="false" ht="15" hidden="false" customHeight="true" outlineLevel="0" collapsed="false">
      <c r="B19" s="90" t="s">
        <v>382</v>
      </c>
      <c r="C19" s="92" t="n">
        <f aca="false">C18/C6</f>
        <v>0.208599905717557</v>
      </c>
      <c r="D19" s="92" t="n">
        <f aca="false">D18/D6</f>
        <v>0.178169281376518</v>
      </c>
      <c r="E19" s="92" t="n">
        <f aca="false">E18/E6</f>
        <v>0.206209411974024</v>
      </c>
      <c r="F19" s="92" t="n">
        <f aca="false">F18/F6</f>
        <v>0.26712135586267</v>
      </c>
      <c r="G19" s="92" t="n">
        <f aca="false">G18/G6</f>
        <v>0.294956067547529</v>
      </c>
      <c r="H19" s="92" t="n">
        <f aca="false">H18/H6</f>
        <v>0.323020408163265</v>
      </c>
      <c r="I19" s="89" t="s">
        <v>383</v>
      </c>
    </row>
    <row r="20" customFormat="false" ht="15" hidden="false" customHeight="true" outlineLevel="0" collapsed="false">
      <c r="B20" s="90" t="s">
        <v>384</v>
      </c>
      <c r="C20" s="91" t="s">
        <v>342</v>
      </c>
      <c r="D20" s="92" t="n">
        <f aca="false">D18/C18-1</f>
        <v>-0.0907183212267958</v>
      </c>
      <c r="E20" s="92" t="n">
        <f aca="false">E18/D18-1</f>
        <v>0.234510917805787</v>
      </c>
      <c r="F20" s="92" t="n">
        <f aca="false">F18/E18-1</f>
        <v>0.498130572332471</v>
      </c>
      <c r="G20" s="92" t="n">
        <f aca="false">G18/F18-1</f>
        <v>0.279228258782876</v>
      </c>
      <c r="H20" s="91" t="s">
        <v>359</v>
      </c>
    </row>
    <row r="21" customFormat="false" ht="15" hidden="false" customHeight="true" outlineLevel="0" collapsed="false">
      <c r="B21" s="87" t="s">
        <v>385</v>
      </c>
      <c r="C21" s="88" t="n">
        <v>411</v>
      </c>
      <c r="D21" s="88" t="n">
        <v>-353</v>
      </c>
      <c r="E21" s="88" t="n">
        <v>56</v>
      </c>
      <c r="F21" s="88" t="n">
        <v>869</v>
      </c>
      <c r="G21" s="88" t="n">
        <v>553</v>
      </c>
      <c r="H21" s="88" t="n">
        <v>2590</v>
      </c>
      <c r="I21" s="1" t="s">
        <v>386</v>
      </c>
    </row>
    <row r="22" customFormat="false" ht="15" hidden="false" customHeight="true" outlineLevel="0" collapsed="false">
      <c r="B22" s="81" t="s">
        <v>387</v>
      </c>
      <c r="C22" s="88" t="n">
        <v>6606</v>
      </c>
      <c r="D22" s="88" t="n">
        <v>5280</v>
      </c>
      <c r="E22" s="88" t="n">
        <v>7010</v>
      </c>
      <c r="F22" s="88" t="n">
        <v>11287</v>
      </c>
      <c r="G22" s="88" t="n">
        <v>13880</v>
      </c>
      <c r="H22" s="88" t="n">
        <v>6547</v>
      </c>
    </row>
    <row r="23" customFormat="false" ht="15" hidden="false" customHeight="true" outlineLevel="0" collapsed="false">
      <c r="B23" s="87" t="s">
        <v>388</v>
      </c>
      <c r="C23" s="88" t="n">
        <v>1490</v>
      </c>
      <c r="D23" s="88" t="n">
        <v>788</v>
      </c>
      <c r="E23" s="88" t="n">
        <v>1602</v>
      </c>
      <c r="F23" s="88" t="n">
        <v>2575</v>
      </c>
      <c r="G23" s="88" t="n">
        <v>2899</v>
      </c>
      <c r="H23" s="88" t="n">
        <v>1264</v>
      </c>
    </row>
    <row r="24" customFormat="false" ht="15" hidden="false" customHeight="true" outlineLevel="0" collapsed="false">
      <c r="B24" s="90" t="s">
        <v>389</v>
      </c>
      <c r="C24" s="92" t="n">
        <f aca="false">C23/C22</f>
        <v>0.225552528004844</v>
      </c>
      <c r="D24" s="92" t="n">
        <f aca="false">D23/D22</f>
        <v>0.149242424242424</v>
      </c>
      <c r="E24" s="92" t="n">
        <f aca="false">E23/E22</f>
        <v>0.228530670470756</v>
      </c>
      <c r="F24" s="92" t="n">
        <f aca="false">F23/F22</f>
        <v>0.228138566492425</v>
      </c>
      <c r="G24" s="92" t="n">
        <f aca="false">G23/G22</f>
        <v>0.208861671469741</v>
      </c>
      <c r="H24" s="92" t="n">
        <f aca="false">H23/H22</f>
        <v>0.193065526195204</v>
      </c>
      <c r="I24" s="89" t="s">
        <v>390</v>
      </c>
    </row>
    <row r="25" customFormat="false" ht="15" hidden="false" customHeight="true" outlineLevel="0" collapsed="false">
      <c r="B25" s="81" t="s">
        <v>391</v>
      </c>
      <c r="C25" s="88" t="n">
        <v>5116</v>
      </c>
      <c r="D25" s="88" t="n">
        <v>4492</v>
      </c>
      <c r="E25" s="88" t="n">
        <v>5408</v>
      </c>
      <c r="F25" s="88" t="n">
        <v>8712</v>
      </c>
      <c r="G25" s="88" t="n">
        <v>10981</v>
      </c>
      <c r="H25" s="88" t="n">
        <v>5283</v>
      </c>
      <c r="I25" s="1" t="s">
        <v>392</v>
      </c>
    </row>
    <row r="26" customFormat="false" ht="15" hidden="false" customHeight="true" outlineLevel="0" collapsed="false">
      <c r="B26" s="90" t="s">
        <v>393</v>
      </c>
      <c r="C26" s="92" t="n">
        <f aca="false">C25/C6</f>
        <v>0.172267492760455</v>
      </c>
      <c r="D26" s="92" t="n">
        <f aca="false">D25/D6</f>
        <v>0.14207995951417</v>
      </c>
      <c r="E26" s="92" t="n">
        <f aca="false">E25/E6</f>
        <v>0.160365329300477</v>
      </c>
      <c r="F26" s="92" t="n">
        <f aca="false">F25/F6</f>
        <v>0.223378887720828</v>
      </c>
      <c r="G26" s="92" t="n">
        <f aca="false">G25/G6</f>
        <v>0.243033884425558</v>
      </c>
      <c r="H26" s="92" t="n">
        <f aca="false">H25/H6</f>
        <v>0.431265306122449</v>
      </c>
      <c r="I26" s="89" t="s">
        <v>394</v>
      </c>
    </row>
    <row r="27" customFormat="false" ht="15" hidden="false" customHeight="true" outlineLevel="0" collapsed="false">
      <c r="B27" s="90" t="s">
        <v>395</v>
      </c>
      <c r="C27" s="91" t="s">
        <v>342</v>
      </c>
      <c r="D27" s="92" t="n">
        <f aca="false">D25/C25-1</f>
        <v>-0.121970289288507</v>
      </c>
      <c r="E27" s="92" t="n">
        <f aca="false">E25/D25-1</f>
        <v>0.203918076580588</v>
      </c>
      <c r="F27" s="92" t="n">
        <f aca="false">F25/E25-1</f>
        <v>0.61094674556213</v>
      </c>
      <c r="G27" s="92" t="n">
        <f aca="false">G25/F25-1</f>
        <v>0.26044536271809</v>
      </c>
      <c r="H27" s="91" t="s">
        <v>359</v>
      </c>
    </row>
    <row r="28" customFormat="false" ht="15" hidden="false" customHeight="true" outlineLevel="0" collapsed="false">
      <c r="B28" s="87" t="s">
        <v>396</v>
      </c>
      <c r="C28" s="93" t="n">
        <v>1.13</v>
      </c>
      <c r="D28" s="93" t="n">
        <v>1</v>
      </c>
      <c r="E28" s="93" t="n">
        <v>1.22</v>
      </c>
      <c r="F28" s="93" t="n">
        <v>2</v>
      </c>
      <c r="G28" s="93" t="n">
        <v>2.55</v>
      </c>
      <c r="H28" s="93" t="n">
        <v>1.23</v>
      </c>
      <c r="I28" s="1" t="s">
        <v>397</v>
      </c>
    </row>
    <row r="29" customFormat="false" ht="15" hidden="false" customHeight="true" outlineLevel="0" collapsed="false">
      <c r="B29" s="90" t="s">
        <v>398</v>
      </c>
      <c r="C29" s="91" t="s">
        <v>342</v>
      </c>
      <c r="D29" s="92" t="n">
        <f aca="false">D28/C28-1</f>
        <v>-0.115044247787611</v>
      </c>
      <c r="E29" s="92" t="n">
        <f aca="false">E28/D28-1</f>
        <v>0.22</v>
      </c>
      <c r="F29" s="92" t="n">
        <f aca="false">F28/E28-1</f>
        <v>0.639344262295082</v>
      </c>
      <c r="G29" s="92" t="n">
        <f aca="false">G28/F28-1</f>
        <v>0.275</v>
      </c>
      <c r="H29" s="91" t="s">
        <v>359</v>
      </c>
      <c r="I29" s="89" t="s">
        <v>399</v>
      </c>
    </row>
    <row r="30" customFormat="false" ht="15" hidden="false" customHeight="true" outlineLevel="0" collapsed="false">
      <c r="B30" s="87" t="s">
        <v>400</v>
      </c>
      <c r="C30" s="94" t="n">
        <v>4520</v>
      </c>
      <c r="D30" s="94" t="n">
        <v>4500</v>
      </c>
      <c r="E30" s="94" t="n">
        <v>4450</v>
      </c>
      <c r="F30" s="94" t="n">
        <v>4368</v>
      </c>
      <c r="G30" s="94" t="n">
        <v>4318</v>
      </c>
      <c r="H30" s="94" t="n">
        <v>4298.4</v>
      </c>
      <c r="I30" s="1" t="s">
        <v>401</v>
      </c>
    </row>
    <row r="32" customFormat="false" ht="18" hidden="false" customHeight="true" outlineLevel="0" collapsed="false">
      <c r="B32" s="86" t="s">
        <v>402</v>
      </c>
      <c r="C32" s="86"/>
      <c r="D32" s="86"/>
      <c r="E32" s="86"/>
      <c r="F32" s="86"/>
      <c r="G32" s="86"/>
      <c r="H32" s="86"/>
      <c r="I32" s="86"/>
    </row>
    <row r="33" customFormat="false" ht="15" hidden="false" customHeight="true" outlineLevel="0" collapsed="false">
      <c r="B33" s="87" t="s">
        <v>403</v>
      </c>
      <c r="C33" s="88" t="n">
        <v>393</v>
      </c>
      <c r="D33" s="88" t="n">
        <v>2026</v>
      </c>
      <c r="E33" s="88" t="n">
        <v>7274</v>
      </c>
      <c r="F33" s="88" t="n">
        <v>7361</v>
      </c>
      <c r="G33" s="88" t="n">
        <v>10149</v>
      </c>
      <c r="H33" s="88" t="n">
        <v>5290</v>
      </c>
      <c r="I33" s="89" t="s">
        <v>404</v>
      </c>
    </row>
    <row r="34" customFormat="false" ht="15" hidden="false" customHeight="true" outlineLevel="0" collapsed="false">
      <c r="B34" s="90" t="s">
        <v>405</v>
      </c>
      <c r="C34" s="92" t="n">
        <f aca="false">C33/C6</f>
        <v>0.0132332143578692</v>
      </c>
      <c r="D34" s="92" t="n">
        <f aca="false">D33/D6</f>
        <v>0.0640814777327935</v>
      </c>
      <c r="E34" s="92" t="n">
        <f aca="false">E33/E6</f>
        <v>0.215698484713697</v>
      </c>
      <c r="F34" s="92" t="n">
        <f aca="false">F33/F6</f>
        <v>0.188738750288454</v>
      </c>
      <c r="G34" s="92" t="n">
        <f aca="false">G33/G6</f>
        <v>0.22461987915809</v>
      </c>
      <c r="H34" s="92" t="n">
        <f aca="false">H33/H6</f>
        <v>0.431836734693878</v>
      </c>
      <c r="I34" s="89" t="s">
        <v>406</v>
      </c>
    </row>
    <row r="35" customFormat="false" ht="15" hidden="false" customHeight="true" outlineLevel="0" collapsed="false">
      <c r="B35" s="90" t="s">
        <v>407</v>
      </c>
      <c r="C35" s="91" t="s">
        <v>342</v>
      </c>
      <c r="D35" s="92" t="n">
        <f aca="false">D33/C33-1</f>
        <v>4.15521628498728</v>
      </c>
      <c r="E35" s="92" t="n">
        <f aca="false">E33/D33-1</f>
        <v>2.59032576505429</v>
      </c>
      <c r="F35" s="92" t="n">
        <f aca="false">F33/E33-1</f>
        <v>0.0119604069287875</v>
      </c>
      <c r="G35" s="92" t="n">
        <f aca="false">G33/F33-1</f>
        <v>0.378752886836028</v>
      </c>
      <c r="H35" s="91" t="s">
        <v>359</v>
      </c>
    </row>
    <row r="36" customFormat="false" ht="15" hidden="false" customHeight="true" outlineLevel="0" collapsed="false">
      <c r="B36" s="87" t="s">
        <v>408</v>
      </c>
      <c r="C36" s="88" t="n">
        <v>525</v>
      </c>
      <c r="D36" s="88" t="n">
        <v>408</v>
      </c>
      <c r="E36" s="88" t="n">
        <v>349</v>
      </c>
      <c r="F36" s="88" t="n">
        <v>440</v>
      </c>
      <c r="G36" s="88" t="n">
        <v>688</v>
      </c>
      <c r="H36" s="88" t="n">
        <v>196</v>
      </c>
      <c r="I36" s="1" t="s">
        <v>409</v>
      </c>
    </row>
    <row r="37" customFormat="false" ht="15" hidden="false" customHeight="true" outlineLevel="0" collapsed="false">
      <c r="B37" s="90" t="s">
        <v>410</v>
      </c>
      <c r="C37" s="92" t="n">
        <f aca="false">C36/C6</f>
        <v>0.0176779581116574</v>
      </c>
      <c r="D37" s="92" t="n">
        <f aca="false">D36/D6</f>
        <v>0.0129048582995951</v>
      </c>
      <c r="E37" s="92" t="n">
        <f aca="false">E36/E6</f>
        <v>0.0103490199567061</v>
      </c>
      <c r="F37" s="92" t="n">
        <f aca="false">F36/F6</f>
        <v>0.0112817620061024</v>
      </c>
      <c r="G37" s="92" t="n">
        <f aca="false">G36/G6</f>
        <v>0.0152269658942523</v>
      </c>
      <c r="H37" s="92" t="n">
        <f aca="false">H36/H6</f>
        <v>0.016</v>
      </c>
      <c r="I37" s="89" t="s">
        <v>411</v>
      </c>
    </row>
    <row r="38" customFormat="false" ht="15" hidden="false" customHeight="true" outlineLevel="0" collapsed="false">
      <c r="B38" s="90" t="s">
        <v>412</v>
      </c>
      <c r="C38" s="91" t="s">
        <v>342</v>
      </c>
      <c r="D38" s="92" t="n">
        <f aca="false">D36/C36-1</f>
        <v>-0.222857142857143</v>
      </c>
      <c r="E38" s="92" t="n">
        <f aca="false">E36/D36-1</f>
        <v>-0.144607843137255</v>
      </c>
      <c r="F38" s="92" t="n">
        <f aca="false">F36/E36-1</f>
        <v>0.260744985673352</v>
      </c>
      <c r="G38" s="92" t="n">
        <f aca="false">G36/F36-1</f>
        <v>0.563636363636364</v>
      </c>
      <c r="H38" s="91" t="s">
        <v>359</v>
      </c>
      <c r="I38" s="89" t="s">
        <v>413</v>
      </c>
    </row>
    <row r="39" customFormat="false" ht="15" hidden="false" customHeight="true" outlineLevel="0" collapsed="false">
      <c r="B39" s="81" t="s">
        <v>414</v>
      </c>
      <c r="C39" s="88" t="n">
        <v>-132</v>
      </c>
      <c r="D39" s="88" t="n">
        <v>1619</v>
      </c>
      <c r="E39" s="88" t="n">
        <v>6925</v>
      </c>
      <c r="F39" s="88" t="n">
        <v>6921</v>
      </c>
      <c r="G39" s="88" t="n">
        <v>9461</v>
      </c>
      <c r="H39" s="88" t="n">
        <v>5094</v>
      </c>
      <c r="I39" s="1" t="s">
        <v>415</v>
      </c>
    </row>
    <row r="40" customFormat="false" ht="15" hidden="false" customHeight="true" outlineLevel="0" collapsed="false">
      <c r="B40" s="90" t="s">
        <v>416</v>
      </c>
      <c r="C40" s="92" t="n">
        <f aca="false">C39/C6</f>
        <v>-0.00444474375378813</v>
      </c>
      <c r="D40" s="92" t="n">
        <f aca="false">D39/D6</f>
        <v>0.0512082489878543</v>
      </c>
      <c r="E40" s="92" t="n">
        <f aca="false">E39/E6</f>
        <v>0.205349464756991</v>
      </c>
      <c r="F40" s="92" t="n">
        <f aca="false">F39/F6</f>
        <v>0.177456988282352</v>
      </c>
      <c r="G40" s="92" t="n">
        <f aca="false">G39/G6</f>
        <v>0.209392913263838</v>
      </c>
      <c r="H40" s="92" t="n">
        <f aca="false">H39/H6</f>
        <v>0.415836734693878</v>
      </c>
      <c r="I40" s="89" t="s">
        <v>417</v>
      </c>
    </row>
    <row r="41" customFormat="false" ht="15" hidden="false" customHeight="true" outlineLevel="0" collapsed="false">
      <c r="B41" s="90" t="s">
        <v>418</v>
      </c>
      <c r="C41" s="92" t="n">
        <f aca="false">C39/C25</f>
        <v>-0.0258014073494918</v>
      </c>
      <c r="D41" s="92" t="n">
        <f aca="false">D39/D25</f>
        <v>0.360418521816563</v>
      </c>
      <c r="E41" s="92" t="n">
        <f aca="false">E39/E25</f>
        <v>1.28051035502959</v>
      </c>
      <c r="F41" s="92" t="n">
        <f aca="false">F39/F25</f>
        <v>0.794421487603306</v>
      </c>
      <c r="G41" s="92" t="n">
        <f aca="false">G39/G25</f>
        <v>0.861579091157454</v>
      </c>
      <c r="H41" s="92" t="n">
        <f aca="false">H39/H25</f>
        <v>0.964224872231687</v>
      </c>
      <c r="I41" s="89" t="s">
        <v>419</v>
      </c>
    </row>
    <row r="42" customFormat="false" ht="15" hidden="false" customHeight="true" outlineLevel="0" collapsed="false">
      <c r="B42" s="90" t="s">
        <v>420</v>
      </c>
      <c r="C42" s="91" t="s">
        <v>342</v>
      </c>
      <c r="D42" s="92" t="n">
        <f aca="false">D39/C39-1</f>
        <v>-13.2651515151515</v>
      </c>
      <c r="E42" s="92" t="n">
        <f aca="false">E39/D39-1</f>
        <v>3.27733168622607</v>
      </c>
      <c r="F42" s="92" t="n">
        <f aca="false">F39/E39-1</f>
        <v>-0.000577617328519908</v>
      </c>
      <c r="G42" s="92" t="n">
        <f aca="false">G39/F39-1</f>
        <v>0.366998988585465</v>
      </c>
      <c r="H42" s="91" t="s">
        <v>359</v>
      </c>
    </row>
    <row r="43" customFormat="false" ht="15" hidden="false" customHeight="true" outlineLevel="0" collapsed="false">
      <c r="B43" s="87" t="s">
        <v>421</v>
      </c>
      <c r="C43" s="88" t="n">
        <v>208</v>
      </c>
      <c r="D43" s="88" t="n">
        <v>336</v>
      </c>
      <c r="E43" s="88" t="n">
        <v>297</v>
      </c>
      <c r="F43" s="88" t="n">
        <v>320</v>
      </c>
      <c r="G43" s="88" t="n">
        <v>350</v>
      </c>
      <c r="H43" s="88" t="n">
        <v>99</v>
      </c>
      <c r="I43" s="1" t="s">
        <v>422</v>
      </c>
    </row>
    <row r="44" customFormat="false" ht="15" hidden="false" customHeight="true" outlineLevel="0" collapsed="false">
      <c r="B44" s="90" t="s">
        <v>423</v>
      </c>
      <c r="C44" s="92" t="n">
        <f aca="false">C43/C6</f>
        <v>0.00700383864233282</v>
      </c>
      <c r="D44" s="92" t="n">
        <f aca="false">D43/D6</f>
        <v>0.0106275303643725</v>
      </c>
      <c r="E44" s="92" t="n">
        <f aca="false">E43/E6</f>
        <v>0.00880704563650921</v>
      </c>
      <c r="F44" s="92" t="n">
        <f aca="false">F43/F6</f>
        <v>0.00820491782261993</v>
      </c>
      <c r="G44" s="92" t="n">
        <f aca="false">G43/G6</f>
        <v>0.00774627625434345</v>
      </c>
      <c r="H44" s="92" t="n">
        <f aca="false">H43/H6</f>
        <v>0.00808163265306123</v>
      </c>
      <c r="I44" s="89" t="s">
        <v>424</v>
      </c>
    </row>
    <row r="45" customFormat="false" ht="15" hidden="false" customHeight="true" outlineLevel="0" collapsed="false">
      <c r="B45" s="87" t="s">
        <v>425</v>
      </c>
      <c r="C45" s="88" t="n">
        <v>404</v>
      </c>
      <c r="D45" s="88" t="n">
        <v>553</v>
      </c>
      <c r="E45" s="88" t="n">
        <v>416</v>
      </c>
      <c r="F45" s="88" t="n">
        <v>437</v>
      </c>
      <c r="G45" s="88" t="n">
        <v>514</v>
      </c>
      <c r="H45" s="88" t="n">
        <v>140</v>
      </c>
      <c r="I45" s="1" t="s">
        <v>426</v>
      </c>
    </row>
    <row r="46" customFormat="false" ht="15" hidden="false" customHeight="true" outlineLevel="0" collapsed="false">
      <c r="B46" s="90" t="s">
        <v>427</v>
      </c>
      <c r="C46" s="92" t="n">
        <f aca="false">C45/C6</f>
        <v>0.0136036096706849</v>
      </c>
      <c r="D46" s="92" t="n">
        <f aca="false">D45/D6</f>
        <v>0.0174911437246964</v>
      </c>
      <c r="E46" s="92" t="n">
        <f aca="false">E45/E6</f>
        <v>0.0123357945615752</v>
      </c>
      <c r="F46" s="92" t="n">
        <f aca="false">F45/F6</f>
        <v>0.0112048409015153</v>
      </c>
      <c r="G46" s="92" t="n">
        <f aca="false">G45/G6</f>
        <v>0.0113759599849501</v>
      </c>
      <c r="H46" s="92" t="n">
        <f aca="false">H45/H6</f>
        <v>0.0114285714285714</v>
      </c>
      <c r="I46" s="89" t="s">
        <v>428</v>
      </c>
    </row>
    <row r="47" customFormat="false" ht="15" hidden="false" customHeight="true" outlineLevel="0" collapsed="false">
      <c r="B47" s="87" t="s">
        <v>429</v>
      </c>
      <c r="C47" s="88" t="n">
        <v>0</v>
      </c>
      <c r="D47" s="88" t="n">
        <v>0</v>
      </c>
      <c r="E47" s="88" t="n">
        <v>0</v>
      </c>
      <c r="F47" s="88" t="n">
        <v>0</v>
      </c>
      <c r="G47" s="88" t="n">
        <v>0</v>
      </c>
      <c r="H47" s="88" t="n">
        <v>0</v>
      </c>
      <c r="I47" s="1" t="s">
        <v>430</v>
      </c>
    </row>
    <row r="48" customFormat="false" ht="15" hidden="false" customHeight="true" outlineLevel="0" collapsed="false">
      <c r="B48" s="87" t="s">
        <v>431</v>
      </c>
      <c r="C48" s="88" t="n">
        <v>600</v>
      </c>
      <c r="D48" s="88" t="n">
        <v>0</v>
      </c>
      <c r="E48" s="88" t="n">
        <v>6045</v>
      </c>
      <c r="F48" s="88" t="n">
        <v>6264</v>
      </c>
      <c r="G48" s="88" t="n">
        <v>9127</v>
      </c>
      <c r="H48" s="88" t="n">
        <v>1271</v>
      </c>
      <c r="I48" s="1" t="s">
        <v>432</v>
      </c>
    </row>
    <row r="49" customFormat="false" ht="15" hidden="false" customHeight="true" outlineLevel="0" collapsed="false">
      <c r="B49" s="81" t="s">
        <v>433</v>
      </c>
      <c r="C49" s="95" t="n">
        <f aca="false">C47+C48</f>
        <v>600</v>
      </c>
      <c r="D49" s="95" t="n">
        <f aca="false">D47+D48</f>
        <v>0</v>
      </c>
      <c r="E49" s="95" t="n">
        <f aca="false">E47+E48</f>
        <v>6045</v>
      </c>
      <c r="F49" s="95" t="n">
        <f aca="false">F47+F48</f>
        <v>6264</v>
      </c>
      <c r="G49" s="95" t="n">
        <f aca="false">G47+G48</f>
        <v>9127</v>
      </c>
      <c r="H49" s="95" t="n">
        <f aca="false">H47+H48</f>
        <v>1271</v>
      </c>
    </row>
    <row r="50" customFormat="false" ht="15" hidden="false" customHeight="true" outlineLevel="0" collapsed="false">
      <c r="B50" s="90" t="s">
        <v>434</v>
      </c>
      <c r="C50" s="92" t="n">
        <f aca="false">C49/C39</f>
        <v>-4.54545454545455</v>
      </c>
      <c r="D50" s="92" t="n">
        <f aca="false">D49/D39</f>
        <v>0</v>
      </c>
      <c r="E50" s="92" t="n">
        <f aca="false">E49/E39</f>
        <v>0.872924187725632</v>
      </c>
      <c r="F50" s="92" t="n">
        <f aca="false">F49/F39</f>
        <v>0.905071521456437</v>
      </c>
      <c r="G50" s="92" t="n">
        <f aca="false">G49/G39</f>
        <v>0.964697177888173</v>
      </c>
      <c r="H50" s="92" t="n">
        <f aca="false">H49/H39</f>
        <v>0.249509226541029</v>
      </c>
      <c r="I50" s="89" t="s">
        <v>435</v>
      </c>
    </row>
    <row r="52" customFormat="false" ht="18" hidden="false" customHeight="true" outlineLevel="0" collapsed="false">
      <c r="B52" s="86" t="s">
        <v>436</v>
      </c>
      <c r="C52" s="86"/>
      <c r="D52" s="86"/>
      <c r="E52" s="86"/>
      <c r="F52" s="86"/>
      <c r="G52" s="86"/>
      <c r="H52" s="86"/>
      <c r="I52" s="86"/>
    </row>
    <row r="53" customFormat="false" ht="15" hidden="false" customHeight="true" outlineLevel="0" collapsed="false">
      <c r="B53" s="87" t="s">
        <v>437</v>
      </c>
      <c r="C53" s="88" t="n">
        <v>6028</v>
      </c>
      <c r="D53" s="88" t="n">
        <v>6058</v>
      </c>
      <c r="E53" s="88" t="n">
        <v>7138</v>
      </c>
      <c r="F53" s="88" t="n">
        <v>9584</v>
      </c>
      <c r="G53" s="88" t="n">
        <v>9062</v>
      </c>
      <c r="H53" s="88" t="n">
        <v>12267</v>
      </c>
      <c r="I53" s="1" t="s">
        <v>438</v>
      </c>
    </row>
    <row r="54" customFormat="false" ht="15" hidden="false" customHeight="true" outlineLevel="0" collapsed="false">
      <c r="B54" s="87" t="s">
        <v>439</v>
      </c>
      <c r="C54" s="88" t="n">
        <v>0</v>
      </c>
      <c r="D54" s="88" t="n">
        <v>0</v>
      </c>
      <c r="E54" s="88" t="n">
        <v>0</v>
      </c>
      <c r="F54" s="88" t="n">
        <v>0</v>
      </c>
      <c r="G54" s="88" t="n">
        <v>0</v>
      </c>
      <c r="H54" s="88" t="n">
        <v>0</v>
      </c>
      <c r="I54" s="1" t="s">
        <v>440</v>
      </c>
    </row>
    <row r="55" customFormat="false" ht="15" hidden="false" customHeight="true" outlineLevel="0" collapsed="false">
      <c r="B55" s="87" t="s">
        <v>441</v>
      </c>
      <c r="C55" s="88" t="n">
        <v>0</v>
      </c>
      <c r="D55" s="88" t="n">
        <v>0</v>
      </c>
      <c r="E55" s="88" t="n">
        <v>0</v>
      </c>
      <c r="F55" s="88" t="n">
        <v>0</v>
      </c>
      <c r="G55" s="88" t="n">
        <v>0</v>
      </c>
      <c r="H55" s="88" t="n">
        <v>0</v>
      </c>
      <c r="I55" s="1" t="s">
        <v>442</v>
      </c>
    </row>
    <row r="56" customFormat="false" ht="15" hidden="false" customHeight="true" outlineLevel="0" collapsed="false">
      <c r="B56" s="87" t="s">
        <v>443</v>
      </c>
      <c r="C56" s="88" t="n">
        <v>1324</v>
      </c>
      <c r="D56" s="88" t="n">
        <v>1399</v>
      </c>
      <c r="E56" s="88" t="n">
        <v>1432</v>
      </c>
      <c r="F56" s="88" t="n">
        <v>1546</v>
      </c>
      <c r="G56" s="88" t="n">
        <v>1750</v>
      </c>
      <c r="H56" s="88" t="n">
        <v>1850</v>
      </c>
      <c r="I56" s="1" t="s">
        <v>444</v>
      </c>
    </row>
    <row r="57" customFormat="false" ht="15" hidden="false" customHeight="true" outlineLevel="0" collapsed="false">
      <c r="B57" s="87" t="s">
        <v>445</v>
      </c>
      <c r="C57" s="88" t="n">
        <v>0</v>
      </c>
      <c r="D57" s="88" t="n">
        <v>0</v>
      </c>
      <c r="E57" s="88" t="n">
        <v>0</v>
      </c>
      <c r="F57" s="88" t="n">
        <v>0</v>
      </c>
      <c r="G57" s="88" t="n">
        <v>0</v>
      </c>
      <c r="H57" s="88" t="n">
        <v>0</v>
      </c>
      <c r="I57" s="1" t="s">
        <v>446</v>
      </c>
    </row>
    <row r="58" customFormat="false" ht="15" hidden="false" customHeight="true" outlineLevel="0" collapsed="false">
      <c r="B58" s="81" t="s">
        <v>447</v>
      </c>
      <c r="C58" s="88" t="n">
        <v>44585</v>
      </c>
      <c r="D58" s="88" t="n">
        <v>48595</v>
      </c>
      <c r="E58" s="88" t="n">
        <v>48732</v>
      </c>
      <c r="F58" s="88" t="n">
        <v>53630</v>
      </c>
      <c r="G58" s="88" t="n">
        <v>55597</v>
      </c>
      <c r="H58" s="88" t="n">
        <v>60000</v>
      </c>
      <c r="I58" s="1" t="s">
        <v>448</v>
      </c>
    </row>
    <row r="59" customFormat="false" ht="15" hidden="false" customHeight="true" outlineLevel="0" collapsed="false">
      <c r="B59" s="87" t="s">
        <v>449</v>
      </c>
      <c r="C59" s="88" t="n">
        <v>14693</v>
      </c>
      <c r="D59" s="88" t="n">
        <v>14353</v>
      </c>
      <c r="E59" s="88" t="n">
        <v>14143</v>
      </c>
      <c r="F59" s="88" t="n">
        <v>13798</v>
      </c>
      <c r="G59" s="88" t="n">
        <v>13464</v>
      </c>
      <c r="H59" s="88" t="n">
        <v>13400</v>
      </c>
      <c r="I59" s="1" t="s">
        <v>450</v>
      </c>
    </row>
    <row r="60" customFormat="false" ht="15" hidden="false" customHeight="true" outlineLevel="0" collapsed="false">
      <c r="B60" s="81" t="s">
        <v>451</v>
      </c>
      <c r="C60" s="88" t="n">
        <v>15849</v>
      </c>
      <c r="D60" s="88" t="n">
        <v>20777</v>
      </c>
      <c r="E60" s="88" t="n">
        <v>20588</v>
      </c>
      <c r="F60" s="88" t="n">
        <v>24744</v>
      </c>
      <c r="G60" s="88" t="n">
        <v>26615</v>
      </c>
      <c r="H60" s="88" t="n">
        <v>30700</v>
      </c>
    </row>
    <row r="61" customFormat="false" ht="15" hidden="false" customHeight="true" outlineLevel="0" collapsed="false">
      <c r="B61" s="87" t="s">
        <v>452</v>
      </c>
      <c r="C61" s="88" t="n">
        <v>5026</v>
      </c>
      <c r="D61" s="88" t="n">
        <v>4638</v>
      </c>
      <c r="E61" s="88" t="n">
        <v>5145</v>
      </c>
      <c r="F61" s="88" t="n">
        <v>5660</v>
      </c>
      <c r="G61" s="88" t="n">
        <v>6000</v>
      </c>
      <c r="H61" s="88" t="n">
        <v>6100</v>
      </c>
    </row>
    <row r="62" customFormat="false" ht="15" hidden="false" customHeight="true" outlineLevel="0" collapsed="false">
      <c r="B62" s="87" t="s">
        <v>453</v>
      </c>
      <c r="C62" s="88" t="n">
        <v>10823</v>
      </c>
      <c r="D62" s="88" t="n">
        <v>16139</v>
      </c>
      <c r="E62" s="88" t="n">
        <v>15443</v>
      </c>
      <c r="F62" s="88" t="n">
        <v>19084</v>
      </c>
      <c r="G62" s="88" t="n">
        <v>20615</v>
      </c>
      <c r="H62" s="88" t="n">
        <v>24600</v>
      </c>
    </row>
    <row r="63" customFormat="false" ht="15" hidden="false" customHeight="true" outlineLevel="0" collapsed="false">
      <c r="B63" s="87" t="s">
        <v>454</v>
      </c>
      <c r="C63" s="88" t="n">
        <v>1209</v>
      </c>
      <c r="D63" s="88" t="n">
        <v>1503</v>
      </c>
      <c r="E63" s="88" t="n">
        <v>1442</v>
      </c>
      <c r="F63" s="88" t="n">
        <v>1564</v>
      </c>
      <c r="G63" s="88" t="n">
        <v>1530</v>
      </c>
      <c r="H63" s="88" t="n">
        <v>1500</v>
      </c>
      <c r="I63" s="1" t="s">
        <v>455</v>
      </c>
    </row>
    <row r="64" customFormat="false" ht="15" hidden="false" customHeight="true" outlineLevel="0" collapsed="false">
      <c r="B64" s="87" t="s">
        <v>456</v>
      </c>
      <c r="C64" s="96" t="s">
        <v>457</v>
      </c>
      <c r="D64" s="96" t="s">
        <v>457</v>
      </c>
      <c r="E64" s="96" t="s">
        <v>457</v>
      </c>
      <c r="F64" s="96" t="s">
        <v>457</v>
      </c>
      <c r="G64" s="96" t="n">
        <v>18.4</v>
      </c>
      <c r="H64" s="88" t="s">
        <v>457</v>
      </c>
      <c r="I64" s="1" t="s">
        <v>458</v>
      </c>
    </row>
    <row r="65" customFormat="false" ht="15" hidden="false" customHeight="true" outlineLevel="0" collapsed="false">
      <c r="B65" s="1" t="s">
        <v>459</v>
      </c>
      <c r="G65" s="1" t="n">
        <v>5.7</v>
      </c>
      <c r="I65" s="1" t="s">
        <v>460</v>
      </c>
    </row>
    <row r="66" customFormat="false" ht="15" hidden="false" customHeight="true" outlineLevel="0" collapsed="false">
      <c r="B66" s="97" t="s">
        <v>461</v>
      </c>
      <c r="C66" s="97"/>
      <c r="D66" s="97"/>
      <c r="E66" s="97"/>
      <c r="F66" s="97"/>
      <c r="G66" s="97"/>
      <c r="H66" s="97"/>
      <c r="I66" s="97"/>
    </row>
    <row r="67" customFormat="false" ht="15" hidden="false" customHeight="true" outlineLevel="0" collapsed="false">
      <c r="B67" s="87" t="s">
        <v>462</v>
      </c>
      <c r="C67" s="98" t="n">
        <f aca="false">C53-C59</f>
        <v>-8665</v>
      </c>
      <c r="D67" s="98" t="n">
        <f aca="false">D53-D59</f>
        <v>-8295</v>
      </c>
      <c r="E67" s="98" t="n">
        <f aca="false">E53-E59</f>
        <v>-7005</v>
      </c>
      <c r="F67" s="98" t="n">
        <f aca="false">F53-F59</f>
        <v>-4214</v>
      </c>
      <c r="G67" s="98" t="n">
        <f aca="false">G53-G59</f>
        <v>-4402</v>
      </c>
      <c r="H67" s="98" t="n">
        <f aca="false">H53-H59</f>
        <v>-1133</v>
      </c>
    </row>
    <row r="68" customFormat="false" ht="15" hidden="false" customHeight="true" outlineLevel="0" collapsed="false">
      <c r="B68" s="90" t="s">
        <v>463</v>
      </c>
      <c r="C68" s="99" t="n">
        <f aca="false">C59/C60</f>
        <v>0.927061644267777</v>
      </c>
      <c r="D68" s="99" t="n">
        <f aca="false">D59/D60</f>
        <v>0.690811955527747</v>
      </c>
      <c r="E68" s="99" t="n">
        <f aca="false">E59/E60</f>
        <v>0.686953565183602</v>
      </c>
      <c r="F68" s="99" t="n">
        <f aca="false">F59/F60</f>
        <v>0.557630132557388</v>
      </c>
      <c r="G68" s="99" t="n">
        <f aca="false">G59/G60</f>
        <v>0.50588014277663</v>
      </c>
      <c r="H68" s="99" t="n">
        <f aca="false">H59/H60</f>
        <v>0.436482084690554</v>
      </c>
      <c r="I68" s="89" t="s">
        <v>464</v>
      </c>
    </row>
    <row r="69" customFormat="false" ht="15" hidden="false" customHeight="true" outlineLevel="0" collapsed="false">
      <c r="B69" s="90" t="s">
        <v>465</v>
      </c>
      <c r="C69" s="92" t="n">
        <f aca="false">C56/C6</f>
        <v>0.0445821267425416</v>
      </c>
      <c r="D69" s="92" t="n">
        <f aca="false">D56/D6</f>
        <v>0.0442497469635628</v>
      </c>
      <c r="E69" s="92" t="n">
        <f aca="false">E56/E6</f>
        <v>0.0424636005100377</v>
      </c>
      <c r="F69" s="92" t="n">
        <f aca="false">F56/F6</f>
        <v>0.0396400092305326</v>
      </c>
      <c r="G69" s="92" t="n">
        <f aca="false">G56/G6</f>
        <v>0.0387313812717172</v>
      </c>
      <c r="H69" s="92" t="n">
        <f aca="false">H56/H6</f>
        <v>0.151020408163265</v>
      </c>
      <c r="I69" s="89" t="s">
        <v>466</v>
      </c>
    </row>
    <row r="70" customFormat="false" ht="15" hidden="false" customHeight="true" outlineLevel="0" collapsed="false">
      <c r="B70" s="90" t="s">
        <v>467</v>
      </c>
      <c r="C70" s="99" t="n">
        <f aca="false">C6/C58</f>
        <v>0.666098463608837</v>
      </c>
      <c r="D70" s="99" t="n">
        <f aca="false">D6/D58</f>
        <v>0.650601913777138</v>
      </c>
      <c r="E70" s="99" t="n">
        <f aca="false">E6/E58</f>
        <v>0.692009357301157</v>
      </c>
      <c r="F70" s="99" t="n">
        <f aca="false">F6/F58</f>
        <v>0.727223568898005</v>
      </c>
      <c r="G70" s="99" t="n">
        <f aca="false">G6/G58</f>
        <v>0.812687734949728</v>
      </c>
      <c r="H70" s="99" t="n">
        <f aca="false">H6/H58</f>
        <v>0.204166666666667</v>
      </c>
      <c r="I70" s="89" t="s">
        <v>468</v>
      </c>
    </row>
    <row r="72" customFormat="false" ht="18" hidden="false" customHeight="true" outlineLevel="0" collapsed="false">
      <c r="B72" s="86" t="s">
        <v>469</v>
      </c>
      <c r="C72" s="86"/>
      <c r="D72" s="86"/>
      <c r="E72" s="86"/>
      <c r="F72" s="86"/>
      <c r="G72" s="86"/>
      <c r="H72" s="86"/>
      <c r="I72" s="86"/>
    </row>
    <row r="73" customFormat="false" ht="15" hidden="false" customHeight="true" outlineLevel="0" collapsed="false">
      <c r="B73" s="100" t="s">
        <v>470</v>
      </c>
      <c r="C73" s="100"/>
      <c r="D73" s="100"/>
      <c r="E73" s="100"/>
      <c r="F73" s="100"/>
      <c r="G73" s="100"/>
      <c r="H73" s="100"/>
      <c r="I73" s="100"/>
    </row>
    <row r="74" customFormat="false" ht="15" hidden="false" customHeight="true" outlineLevel="0" collapsed="false">
      <c r="B74" s="87" t="s">
        <v>471</v>
      </c>
      <c r="C74" s="101" t="s">
        <v>457</v>
      </c>
      <c r="D74" s="101" t="s">
        <v>457</v>
      </c>
      <c r="E74" s="101" t="s">
        <v>457</v>
      </c>
      <c r="F74" s="88" t="n">
        <v>38400</v>
      </c>
      <c r="G74" s="88" t="n">
        <v>43600</v>
      </c>
      <c r="H74" s="101" t="s">
        <v>457</v>
      </c>
      <c r="I74" s="1" t="s">
        <v>472</v>
      </c>
    </row>
    <row r="75" customFormat="false" ht="15" hidden="false" customHeight="true" outlineLevel="0" collapsed="false">
      <c r="B75" s="87" t="s">
        <v>473</v>
      </c>
      <c r="C75" s="101" t="s">
        <v>457</v>
      </c>
      <c r="D75" s="101" t="s">
        <v>457</v>
      </c>
      <c r="E75" s="101" t="s">
        <v>457</v>
      </c>
      <c r="F75" s="88" t="n">
        <v>550</v>
      </c>
      <c r="G75" s="88" t="n">
        <v>1500</v>
      </c>
      <c r="H75" s="101" t="s">
        <v>457</v>
      </c>
      <c r="I75" s="1" t="s">
        <v>474</v>
      </c>
    </row>
    <row r="76" customFormat="false" ht="15" hidden="false" customHeight="true" outlineLevel="0" collapsed="false">
      <c r="B76" s="87" t="s">
        <v>475</v>
      </c>
      <c r="C76" s="101" t="s">
        <v>457</v>
      </c>
      <c r="D76" s="101" t="s">
        <v>457</v>
      </c>
      <c r="E76" s="101" t="s">
        <v>457</v>
      </c>
      <c r="F76" s="88" t="n">
        <v>51</v>
      </c>
      <c r="G76" s="88" t="n">
        <v>83</v>
      </c>
      <c r="H76" s="101" t="s">
        <v>457</v>
      </c>
      <c r="I76" s="1" t="s">
        <v>476</v>
      </c>
    </row>
    <row r="77" customFormat="false" ht="15" hidden="false" customHeight="true" outlineLevel="0" collapsed="false">
      <c r="B77" s="87" t="s">
        <v>477</v>
      </c>
      <c r="C77" s="101" t="s">
        <v>457</v>
      </c>
      <c r="D77" s="101" t="s">
        <v>457</v>
      </c>
      <c r="E77" s="101" t="s">
        <v>457</v>
      </c>
      <c r="F77" s="88" t="n">
        <v>11000</v>
      </c>
      <c r="G77" s="88" t="n">
        <v>13500</v>
      </c>
      <c r="H77" s="101" t="s">
        <v>457</v>
      </c>
      <c r="I77" s="1" t="s">
        <v>478</v>
      </c>
    </row>
    <row r="78" customFormat="false" ht="15" hidden="false" customHeight="true" outlineLevel="0" collapsed="false">
      <c r="B78" s="87" t="s">
        <v>479</v>
      </c>
      <c r="C78" s="101" t="s">
        <v>457</v>
      </c>
      <c r="D78" s="101" t="s">
        <v>457</v>
      </c>
      <c r="E78" s="101" t="s">
        <v>457</v>
      </c>
      <c r="F78" s="88" t="n">
        <v>-528</v>
      </c>
      <c r="G78" s="88" t="n">
        <v>-140</v>
      </c>
      <c r="H78" s="101" t="s">
        <v>457</v>
      </c>
      <c r="I78" s="1" t="s">
        <v>480</v>
      </c>
    </row>
    <row r="79" customFormat="false" ht="15" hidden="false" customHeight="true" outlineLevel="0" collapsed="false">
      <c r="B79" s="87" t="s">
        <v>481</v>
      </c>
      <c r="C79" s="101" t="s">
        <v>457</v>
      </c>
      <c r="D79" s="101" t="s">
        <v>457</v>
      </c>
      <c r="E79" s="101" t="s">
        <v>457</v>
      </c>
      <c r="F79" s="88" t="n">
        <v>-54</v>
      </c>
      <c r="G79" s="88" t="n">
        <v>-33</v>
      </c>
      <c r="H79" s="101" t="s">
        <v>457</v>
      </c>
      <c r="I79" s="1" t="s">
        <v>482</v>
      </c>
    </row>
    <row r="81" customFormat="false" ht="15" hidden="false" customHeight="true" outlineLevel="0" collapsed="false">
      <c r="B81" s="97" t="s">
        <v>483</v>
      </c>
      <c r="C81" s="97"/>
      <c r="D81" s="97"/>
      <c r="E81" s="97"/>
      <c r="F81" s="97"/>
      <c r="G81" s="97"/>
      <c r="H81" s="97"/>
      <c r="I81" s="97"/>
    </row>
    <row r="82" customFormat="false" ht="15" hidden="false" customHeight="true" outlineLevel="0" collapsed="false">
      <c r="B82" s="90" t="s">
        <v>484</v>
      </c>
      <c r="C82" s="91" t="s">
        <v>457</v>
      </c>
      <c r="D82" s="91" t="s">
        <v>457</v>
      </c>
      <c r="E82" s="91" t="s">
        <v>457</v>
      </c>
      <c r="F82" s="92" t="n">
        <f aca="false">IFERROR(F77/F74,"n/d")</f>
        <v>0.286458333333333</v>
      </c>
      <c r="G82" s="92" t="n">
        <f aca="false">IFERROR(G77/G74,"n/d")</f>
        <v>0.309633027522936</v>
      </c>
      <c r="H82" s="91" t="s">
        <v>457</v>
      </c>
    </row>
    <row r="83" customFormat="false" ht="15" hidden="false" customHeight="true" outlineLevel="0" collapsed="false">
      <c r="B83" s="90" t="s">
        <v>485</v>
      </c>
      <c r="C83" s="91" t="s">
        <v>457</v>
      </c>
      <c r="D83" s="91" t="s">
        <v>457</v>
      </c>
      <c r="E83" s="91" t="s">
        <v>457</v>
      </c>
      <c r="F83" s="92" t="n">
        <f aca="false">IFERROR(F78/F75,"n/d")</f>
        <v>-0.96</v>
      </c>
      <c r="G83" s="92" t="n">
        <f aca="false">IFERROR(G78/G75,"n/d")</f>
        <v>-0.0933333333333333</v>
      </c>
      <c r="H83" s="91" t="s">
        <v>457</v>
      </c>
    </row>
    <row r="84" customFormat="false" ht="15" hidden="false" customHeight="true" outlineLevel="0" collapsed="false">
      <c r="B84" s="90" t="s">
        <v>486</v>
      </c>
      <c r="C84" s="91" t="s">
        <v>457</v>
      </c>
      <c r="D84" s="91" t="s">
        <v>457</v>
      </c>
      <c r="E84" s="91" t="s">
        <v>457</v>
      </c>
      <c r="F84" s="92" t="n">
        <f aca="false">IFERROR(F79/F76,"n/d")</f>
        <v>-1.05882352941176</v>
      </c>
      <c r="G84" s="92" t="n">
        <f aca="false">IFERROR(G79/G76,"n/d")</f>
        <v>-0.397590361445783</v>
      </c>
      <c r="H84" s="91" t="s">
        <v>457</v>
      </c>
    </row>
    <row r="86" customFormat="false" ht="15" hidden="false" customHeight="true" outlineLevel="0" collapsed="false">
      <c r="B86" s="97" t="s">
        <v>487</v>
      </c>
      <c r="C86" s="97"/>
      <c r="D86" s="97"/>
      <c r="E86" s="97"/>
      <c r="F86" s="97"/>
      <c r="G86" s="97"/>
      <c r="H86" s="97"/>
      <c r="I86" s="97"/>
    </row>
    <row r="87" customFormat="false" ht="15" hidden="false" customHeight="true" outlineLevel="0" collapsed="false">
      <c r="B87" s="90" t="s">
        <v>488</v>
      </c>
      <c r="C87" s="91" t="s">
        <v>457</v>
      </c>
      <c r="D87" s="91" t="s">
        <v>457</v>
      </c>
      <c r="E87" s="91" t="s">
        <v>457</v>
      </c>
      <c r="F87" s="91" t="s">
        <v>342</v>
      </c>
      <c r="G87" s="92" t="n">
        <f aca="false">IFERROR(G74/F74-1,"n/d")</f>
        <v>0.135416666666667</v>
      </c>
      <c r="H87" s="91" t="s">
        <v>359</v>
      </c>
    </row>
    <row r="88" customFormat="false" ht="15" hidden="false" customHeight="true" outlineLevel="0" collapsed="false">
      <c r="B88" s="90" t="s">
        <v>489</v>
      </c>
      <c r="C88" s="91" t="s">
        <v>457</v>
      </c>
      <c r="D88" s="91" t="s">
        <v>457</v>
      </c>
      <c r="E88" s="91" t="s">
        <v>457</v>
      </c>
      <c r="F88" s="91" t="s">
        <v>342</v>
      </c>
      <c r="G88" s="92" t="n">
        <f aca="false">IFERROR(G75/F75-1,"n/d")</f>
        <v>1.72727272727273</v>
      </c>
      <c r="H88" s="91" t="s">
        <v>359</v>
      </c>
    </row>
    <row r="89" customFormat="false" ht="15" hidden="false" customHeight="true" outlineLevel="0" collapsed="false">
      <c r="B89" s="90" t="s">
        <v>490</v>
      </c>
      <c r="C89" s="91" t="s">
        <v>457</v>
      </c>
      <c r="D89" s="91" t="s">
        <v>457</v>
      </c>
      <c r="E89" s="91" t="s">
        <v>457</v>
      </c>
      <c r="F89" s="91" t="s">
        <v>342</v>
      </c>
      <c r="G89" s="92" t="n">
        <f aca="false">IFERROR(G76/F76-1,"n/d")</f>
        <v>0.627450980392157</v>
      </c>
      <c r="H89" s="91" t="s">
        <v>359</v>
      </c>
    </row>
    <row r="92" customFormat="false" ht="18" hidden="false" customHeight="true" outlineLevel="0" collapsed="false">
      <c r="B92" s="86" t="s">
        <v>491</v>
      </c>
      <c r="C92" s="86"/>
      <c r="D92" s="86"/>
      <c r="E92" s="86"/>
      <c r="F92" s="86"/>
      <c r="G92" s="86"/>
      <c r="H92" s="86"/>
      <c r="I92" s="86"/>
    </row>
    <row r="93" customFormat="false" ht="15" hidden="false" customHeight="true" outlineLevel="0" collapsed="false">
      <c r="B93" s="102" t="s">
        <v>492</v>
      </c>
      <c r="C93" s="102" t="s">
        <v>256</v>
      </c>
    </row>
    <row r="94" customFormat="false" ht="15" hidden="false" customHeight="true" outlineLevel="0" collapsed="false">
      <c r="B94" s="8" t="s">
        <v>493</v>
      </c>
      <c r="C94" s="103" t="s">
        <v>494</v>
      </c>
    </row>
    <row r="95" customFormat="false" ht="15" hidden="false" customHeight="true" outlineLevel="0" collapsed="false">
      <c r="B95" s="8" t="s">
        <v>495</v>
      </c>
      <c r="C95" s="103" t="s">
        <v>496</v>
      </c>
    </row>
    <row r="96" customFormat="false" ht="15" hidden="false" customHeight="true" outlineLevel="0" collapsed="false">
      <c r="B96" s="8" t="s">
        <v>497</v>
      </c>
      <c r="C96" s="103" t="s">
        <v>498</v>
      </c>
    </row>
    <row r="97" customFormat="false" ht="15" hidden="false" customHeight="true" outlineLevel="0" collapsed="false">
      <c r="B97" s="8" t="s">
        <v>499</v>
      </c>
      <c r="C97" s="103" t="s">
        <v>500</v>
      </c>
    </row>
    <row r="98" customFormat="false" ht="15" hidden="false" customHeight="true" outlineLevel="0" collapsed="false">
      <c r="B98" s="8" t="s">
        <v>501</v>
      </c>
      <c r="C98" s="103" t="s">
        <v>502</v>
      </c>
    </row>
    <row r="99" customFormat="false" ht="15" hidden="false" customHeight="true" outlineLevel="0" collapsed="false">
      <c r="B99" s="8" t="s">
        <v>503</v>
      </c>
      <c r="C99" s="103" t="s">
        <v>504</v>
      </c>
    </row>
    <row r="100" customFormat="false" ht="15" hidden="false" customHeight="true" outlineLevel="0" collapsed="false">
      <c r="B100" s="8" t="s">
        <v>505</v>
      </c>
      <c r="C100" s="103" t="s">
        <v>506</v>
      </c>
    </row>
    <row r="101" customFormat="false" ht="15" hidden="false" customHeight="true" outlineLevel="0" collapsed="false">
      <c r="B101" s="8" t="s">
        <v>507</v>
      </c>
      <c r="C101" s="103" t="s">
        <v>508</v>
      </c>
    </row>
    <row r="102" customFormat="false" ht="15" hidden="false" customHeight="true" outlineLevel="0" collapsed="false">
      <c r="B102" s="8" t="s">
        <v>509</v>
      </c>
      <c r="C102" s="103" t="s">
        <v>510</v>
      </c>
    </row>
    <row r="103" customFormat="false" ht="15" hidden="false" customHeight="true" outlineLevel="0" collapsed="false">
      <c r="B103" s="8" t="s">
        <v>511</v>
      </c>
      <c r="C103" s="103" t="s">
        <v>512</v>
      </c>
    </row>
    <row r="104" customFormat="false" ht="15" hidden="false" customHeight="true" outlineLevel="0" collapsed="false">
      <c r="B104" s="8" t="s">
        <v>513</v>
      </c>
      <c r="C104" s="103" t="s">
        <v>514</v>
      </c>
    </row>
    <row r="105" customFormat="false" ht="15" hidden="false" customHeight="true" outlineLevel="0" collapsed="false">
      <c r="B105" s="8" t="s">
        <v>515</v>
      </c>
      <c r="C105" s="103" t="s">
        <v>516</v>
      </c>
    </row>
    <row r="106" customFormat="false" ht="15" hidden="false" customHeight="true" outlineLevel="0" collapsed="false">
      <c r="B106" s="87"/>
      <c r="C106" s="104"/>
    </row>
    <row r="107" customFormat="false" ht="15" hidden="false" customHeight="true" outlineLevel="0" collapsed="false">
      <c r="B107" s="87"/>
      <c r="C107" s="104"/>
    </row>
    <row r="108" customFormat="false" ht="15" hidden="false" customHeight="true" outlineLevel="0" collapsed="false">
      <c r="B108" s="87"/>
      <c r="C108" s="104"/>
    </row>
  </sheetData>
  <mergeCells count="10">
    <mergeCell ref="B1:I1"/>
    <mergeCell ref="B5:I5"/>
    <mergeCell ref="B32:I32"/>
    <mergeCell ref="B52:I52"/>
    <mergeCell ref="B66:I66"/>
    <mergeCell ref="B72:I72"/>
    <mergeCell ref="B73:I73"/>
    <mergeCell ref="B81:I81"/>
    <mergeCell ref="B86:I86"/>
    <mergeCell ref="B92:I9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R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2"/>
    <col collapsed="false" customWidth="true" hidden="false" outlineLevel="0" max="8" min="3" style="1" width="13"/>
    <col collapsed="false" customWidth="true" hidden="false" outlineLevel="0" max="10" min="9" style="1" width="14"/>
    <col collapsed="false" customWidth="true" hidden="false" outlineLevel="0" max="11" min="11" style="1" width="2"/>
    <col collapsed="false" customWidth="true" hidden="false" outlineLevel="0" max="12" min="12" style="1" width="38"/>
    <col collapsed="false" customWidth="true" hidden="false" outlineLevel="0" max="18" min="13" style="1" width="12"/>
  </cols>
  <sheetData>
    <row r="1" customFormat="false" ht="21.75" hidden="false" customHeight="true" outlineLevel="0" collapsed="false">
      <c r="B1" s="80" t="s">
        <v>517</v>
      </c>
      <c r="C1" s="80"/>
      <c r="D1" s="80"/>
      <c r="E1" s="80"/>
      <c r="F1" s="80"/>
      <c r="G1" s="80"/>
      <c r="H1" s="80"/>
    </row>
    <row r="2" customFormat="false" ht="15" hidden="false" customHeight="true" outlineLevel="0" collapsed="false">
      <c r="B2" s="105" t="s">
        <v>248</v>
      </c>
      <c r="C2" s="82" t="s">
        <v>518</v>
      </c>
      <c r="D2" s="44" t="s">
        <v>519</v>
      </c>
      <c r="E2" s="83" t="s">
        <v>347</v>
      </c>
      <c r="F2" s="105" t="s">
        <v>520</v>
      </c>
      <c r="G2" s="105" t="s">
        <v>295</v>
      </c>
    </row>
    <row r="4" customFormat="false" ht="15" hidden="false" customHeight="true" outlineLevel="0" collapsed="false">
      <c r="B4" s="106" t="s">
        <v>348</v>
      </c>
      <c r="C4" s="85" t="s">
        <v>290</v>
      </c>
      <c r="D4" s="85" t="s">
        <v>291</v>
      </c>
      <c r="E4" s="85" t="s">
        <v>292</v>
      </c>
      <c r="F4" s="85" t="s">
        <v>293</v>
      </c>
      <c r="G4" s="85" t="s">
        <v>294</v>
      </c>
      <c r="H4" s="85" t="s">
        <v>295</v>
      </c>
    </row>
    <row r="5" customFormat="false" ht="15" hidden="false" customHeight="true" outlineLevel="0" collapsed="false">
      <c r="L5" s="97" t="s">
        <v>521</v>
      </c>
      <c r="M5" s="97"/>
      <c r="N5" s="97"/>
      <c r="O5" s="97"/>
      <c r="P5" s="97"/>
      <c r="Q5" s="97"/>
      <c r="R5" s="97"/>
    </row>
    <row r="6" customFormat="false" ht="15" hidden="false" customHeight="true" outlineLevel="0" collapsed="false">
      <c r="B6" s="86" t="s">
        <v>522</v>
      </c>
      <c r="C6" s="86"/>
      <c r="D6" s="86"/>
      <c r="E6" s="86"/>
      <c r="F6" s="86"/>
      <c r="G6" s="86"/>
      <c r="H6" s="86"/>
    </row>
    <row r="7" customFormat="false" ht="15" hidden="false" customHeight="true" outlineLevel="0" collapsed="false">
      <c r="B7" s="87" t="s">
        <v>523</v>
      </c>
      <c r="C7" s="95" t="n">
        <f aca="false">Historico!G74*(1+Hipotesis!C30)</f>
        <v>47960</v>
      </c>
      <c r="D7" s="95" t="n">
        <f aca="false">C7*(1+Hipotesis!D30)</f>
        <v>51796.8</v>
      </c>
      <c r="E7" s="95" t="n">
        <f aca="false">D7*(1+Hipotesis!E30)</f>
        <v>55422.576</v>
      </c>
      <c r="F7" s="95" t="n">
        <f aca="false">E7*(1+Hipotesis!F30)</f>
        <v>58747.93056</v>
      </c>
      <c r="G7" s="95" t="n">
        <f aca="false">F7*(1+Hipotesis!G30)</f>
        <v>61685.327088</v>
      </c>
      <c r="H7" s="95" t="n">
        <f aca="false">G7*(1+Hipotesis!H30)</f>
        <v>63535.88690064</v>
      </c>
      <c r="L7" s="85" t="s">
        <v>524</v>
      </c>
      <c r="M7" s="107" t="n">
        <v>0.02</v>
      </c>
      <c r="N7" s="107" t="n">
        <v>0.025</v>
      </c>
      <c r="O7" s="107" t="n">
        <v>0.03</v>
      </c>
      <c r="P7" s="107" t="n">
        <v>0.035</v>
      </c>
      <c r="Q7" s="107" t="n">
        <v>0.04</v>
      </c>
    </row>
    <row r="8" customFormat="false" ht="15" hidden="false" customHeight="true" outlineLevel="0" collapsed="false">
      <c r="B8" s="90" t="s">
        <v>525</v>
      </c>
      <c r="C8" s="92" t="n">
        <f aca="false">C7/Historico!G74-1</f>
        <v>0.1</v>
      </c>
      <c r="D8" s="92" t="n">
        <f aca="false">D7/C7-1</f>
        <v>0.0800000000000001</v>
      </c>
      <c r="E8" s="92" t="n">
        <f aca="false">E7/D7-1</f>
        <v>0.0700000000000001</v>
      </c>
      <c r="F8" s="92" t="n">
        <f aca="false">F7/E7-1</f>
        <v>0.0600000000000001</v>
      </c>
      <c r="G8" s="92" t="n">
        <f aca="false">G7/F7-1</f>
        <v>0.05</v>
      </c>
      <c r="H8" s="92" t="n">
        <f aca="false">H7/G7-1</f>
        <v>0.03</v>
      </c>
      <c r="L8" s="108" t="n">
        <v>0.075</v>
      </c>
      <c r="M8" s="109" t="n">
        <f aca="false">((C33/(1+$L$8)^0.5 + D33/(1+$L$8)^1.5 + E33/(1+$L$8)^2.5 + F33/(1+$L$8)^3.5 + G33/(1+$L$8)^4.5)+(G33*(1+M$7)/($L$8-M$7))/(1+$L$8)^5+Hipotesis!$C$15+Hipotesis!$C$16-Hipotesis!$C$14)/Hipotesis!$C$8</f>
        <v>74.7536540199287</v>
      </c>
      <c r="N8" s="109" t="n">
        <f aca="false">((C33/(1+$L$8)^0.5 + D33/(1+$L$8)^1.5 + E33/(1+$L$8)^2.5 + F33/(1+$L$8)^3.5 + G33/(1+$L$8)^4.5)+(G33*(1+N$7)/($L$8-N$7))/(1+$L$8)^5+Hipotesis!$C$15+Hipotesis!$C$16-Hipotesis!$C$14)/Hipotesis!$C$8</f>
        <v>81.0698064083515</v>
      </c>
      <c r="O8" s="109" t="n">
        <f aca="false">((C33/(1+$L$8)^0.5 + D33/(1+$L$8)^1.5 + E33/(1+$L$8)^2.5 + F33/(1+$L$8)^3.5 + G33/(1+$L$8)^4.5)+(G33*(1+O$7)/($L$8-O$7))/(1+$L$8)^5+Hipotesis!$C$15+Hipotesis!$C$16-Hipotesis!$C$14)/Hipotesis!$C$8</f>
        <v>88.7895482164238</v>
      </c>
      <c r="P8" s="109" t="n">
        <f aca="false">((C33/(1+$L$8)^0.5 + D33/(1+$L$8)^1.5 + E33/(1+$L$8)^2.5 + F33/(1+$L$8)^3.5 + G33/(1+$L$8)^4.5)+(G33*(1+P$7)/($L$8-P$7))/(1+$L$8)^5+Hipotesis!$C$15+Hipotesis!$C$16-Hipotesis!$C$14)/Hipotesis!$C$8</f>
        <v>98.4392254765142</v>
      </c>
      <c r="Q8" s="109" t="n">
        <f aca="false">((C33/(1+$L$8)^0.5 + D33/(1+$L$8)^1.5 + E33/(1+$L$8)^2.5 + F33/(1+$L$8)^3.5 + G33/(1+$L$8)^4.5)+(G33*(1+Q$7)/($L$8-Q$7))/(1+$L$8)^5+Hipotesis!$C$15+Hipotesis!$C$16-Hipotesis!$C$14)/Hipotesis!$C$8</f>
        <v>110.845953382345</v>
      </c>
    </row>
    <row r="9" customFormat="false" ht="15" hidden="false" customHeight="true" outlineLevel="0" collapsed="false">
      <c r="B9" s="87" t="s">
        <v>526</v>
      </c>
      <c r="C9" s="95" t="n">
        <f aca="false">Historico!G75*(1+Hipotesis!C31)</f>
        <v>3000</v>
      </c>
      <c r="D9" s="95" t="n">
        <f aca="false">C9*(1+Hipotesis!D31)</f>
        <v>4800</v>
      </c>
      <c r="E9" s="95" t="n">
        <f aca="false">D9*(1+Hipotesis!E31)</f>
        <v>6720</v>
      </c>
      <c r="F9" s="95" t="n">
        <f aca="false">E9*(1+Hipotesis!F31)</f>
        <v>8400</v>
      </c>
      <c r="G9" s="95" t="n">
        <f aca="false">F9*(1+Hipotesis!G31)</f>
        <v>9660</v>
      </c>
      <c r="H9" s="95" t="n">
        <f aca="false">G9*(1+Hipotesis!H31)</f>
        <v>10143</v>
      </c>
      <c r="L9" s="108" t="n">
        <v>0.085</v>
      </c>
      <c r="M9" s="109" t="n">
        <f aca="false">((C33/(1+$L$9)^0.5 + D33/(1+$L$9)^1.5 + E33/(1+$L$9)^2.5 + F33/(1+$L$9)^3.5 + G33/(1+$L$9)^4.5)+(G33*(1+M$7)/($L$9-M$7))/(1+$L$9)^5+Hipotesis!$C$15+Hipotesis!$C$16-Hipotesis!$C$14)/Hipotesis!$C$8</f>
        <v>62.8676567291006</v>
      </c>
      <c r="N9" s="109" t="n">
        <f aca="false">((C33/(1+$L$9)^0.5 + D33/(1+$L$9)^1.5 + E33/(1+$L$9)^2.5 + F33/(1+$L$9)^3.5 + G33/(1+$L$9)^4.5)+(G33*(1+N$7)/($L$9-N$7))/(1+$L$9)^5+Hipotesis!$C$15+Hipotesis!$C$16-Hipotesis!$C$14)/Hipotesis!$C$8</f>
        <v>67.1594183391062</v>
      </c>
      <c r="O9" s="109" t="n">
        <f aca="false">((C33/(1+$L$9)^0.5 + D33/(1+$L$9)^1.5 + E33/(1+$L$9)^2.5 + F33/(1+$L$9)^3.5 + G33/(1+$L$9)^4.5)+(G33*(1+O$7)/($L$9-O$7))/(1+$L$9)^5+Hipotesis!$C$15+Hipotesis!$C$16-Hipotesis!$C$14)/Hipotesis!$C$8</f>
        <v>72.23150024184</v>
      </c>
      <c r="P9" s="109" t="n">
        <f aca="false">((C33/(1+$L$9)^0.5 + D33/(1+$L$9)^1.5 + E33/(1+$L$9)^2.5 + F33/(1+$L$9)^3.5 + G33/(1+$L$9)^4.5)+(G33*(1+P$7)/($L$9-P$7))/(1+$L$9)^5+Hipotesis!$C$15+Hipotesis!$C$16-Hipotesis!$C$14)/Hipotesis!$C$8</f>
        <v>78.3179985251206</v>
      </c>
      <c r="Q9" s="109" t="n">
        <f aca="false">((C33/(1+$L$9)^0.5 + D33/(1+$L$9)^1.5 + E33/(1+$L$9)^2.5 + F33/(1+$L$9)^3.5 + G33/(1+$L$9)^4.5)+(G33*(1+Q$7)/($L$9-Q$7))/(1+$L$9)^5+Hipotesis!$C$15+Hipotesis!$C$16-Hipotesis!$C$14)/Hipotesis!$C$8</f>
        <v>85.7570519824635</v>
      </c>
    </row>
    <row r="10" customFormat="false" ht="15" hidden="false" customHeight="true" outlineLevel="0" collapsed="false">
      <c r="B10" s="90" t="s">
        <v>527</v>
      </c>
      <c r="C10" s="92" t="n">
        <f aca="false">C9/Historico!G75-1</f>
        <v>1</v>
      </c>
      <c r="D10" s="92" t="n">
        <f aca="false">D9/C9-1</f>
        <v>0.6</v>
      </c>
      <c r="E10" s="92" t="n">
        <f aca="false">E9/D9-1</f>
        <v>0.4</v>
      </c>
      <c r="F10" s="92" t="n">
        <f aca="false">F9/E9-1</f>
        <v>0.25</v>
      </c>
      <c r="G10" s="92" t="n">
        <f aca="false">G9/F9-1</f>
        <v>0.15</v>
      </c>
      <c r="H10" s="92" t="n">
        <f aca="false">H9/G9-1</f>
        <v>0.05</v>
      </c>
      <c r="L10" s="108" t="n">
        <v>0.0912</v>
      </c>
      <c r="M10" s="109" t="n">
        <f aca="false">((C33/(1+$L$10)^0.5 + D33/(1+$L$10)^1.5 + E33/(1+$L$10)^2.5 + F33/(1+$L$10)^3.5 + G33/(1+$L$10)^4.5)+(G33*(1+M$7)/($L$10-M$7))/(1+$L$10)^5+Hipotesis!$C$15+Hipotesis!$C$16-Hipotesis!$C$14)/Hipotesis!$C$8</f>
        <v>57.1870061918347</v>
      </c>
      <c r="N10" s="109" t="n">
        <f aca="false">((C33/(1+$L$10)^0.5 + D33/(1+$L$10)^1.5 + E33/(1+$L$10)^2.5 + F33/(1+$L$10)^3.5 + G33/(1+$L$10)^4.5)+(G33*(1+N$7)/($L$10-N$7))/(1+$L$10)^5+Hipotesis!$C$15+Hipotesis!$C$16-Hipotesis!$C$14)/Hipotesis!$C$8</f>
        <v>60.6580791175311</v>
      </c>
      <c r="O10" s="110" t="n">
        <f aca="false">((C33/(1+$L$10)^0.5 + D33/(1+$L$10)^1.5 + E33/(1+$L$10)^2.5 + F33/(1+$L$10)^3.5 + G33/(1+$L$10)^4.5)+(G33*(1+O$7)/($L$10-O$7))/(1+$L$10)^5+Hipotesis!$C$15+Hipotesis!$C$16-Hipotesis!$C$14)/Hipotesis!$C$8</f>
        <v>64.6963208219361</v>
      </c>
      <c r="P10" s="109" t="n">
        <f aca="false">((C33/(1+$L$10)^0.5 + D33/(1+$L$10)^1.5 + E33/(1+$L$10)^2.5 + F33/(1+$L$10)^3.5 + G33/(1+$L$10)^4.5)+(G33*(1+P$7)/($L$10-P$7))/(1+$L$10)^5+Hipotesis!$C$15+Hipotesis!$C$16-Hipotesis!$C$14)/Hipotesis!$C$8</f>
        <v>69.4531108723206</v>
      </c>
      <c r="Q10" s="109" t="n">
        <f aca="false">((C33/(1+$L$10)^0.5 + D33/(1+$L$10)^1.5 + E33/(1+$L$10)^2.5 + F33/(1+$L$10)^3.5 + G33/(1+$L$10)^4.5)+(G33*(1+Q$7)/($L$10-Q$7))/(1+$L$10)^5+Hipotesis!$C$15+Hipotesis!$C$16-Hipotesis!$C$14)/Hipotesis!$C$8</f>
        <v>75.1389614794207</v>
      </c>
    </row>
    <row r="11" customFormat="false" ht="15" hidden="false" customHeight="true" outlineLevel="0" collapsed="false">
      <c r="B11" s="87" t="s">
        <v>528</v>
      </c>
      <c r="C11" s="95" t="n">
        <f aca="false">Historico!G76*(1+Hipotesis!C32)</f>
        <v>124.5</v>
      </c>
      <c r="D11" s="95" t="n">
        <f aca="false">C11*(1+Hipotesis!D32)</f>
        <v>174.3</v>
      </c>
      <c r="E11" s="95" t="n">
        <f aca="false">D11*(1+Hipotesis!E32)</f>
        <v>226.59</v>
      </c>
      <c r="F11" s="95" t="n">
        <f aca="false">E11*(1+Hipotesis!F32)</f>
        <v>271.908</v>
      </c>
      <c r="G11" s="95" t="n">
        <f aca="false">F11*(1+Hipotesis!G32)</f>
        <v>312.6942</v>
      </c>
      <c r="H11" s="95" t="n">
        <f aca="false">G11*(1+Hipotesis!H32)</f>
        <v>328.32891</v>
      </c>
      <c r="L11" s="108" t="n">
        <v>0.1</v>
      </c>
      <c r="M11" s="109" t="n">
        <f aca="false">((C33/(1+$L$11)^0.5 + D33/(1+$L$11)^1.5 + E33/(1+$L$11)^2.5 + F33/(1+$L$11)^3.5 + G33/(1+$L$11)^4.5)+(G33*(1+M$7)/($L$11-M$7))/(1+$L$11)^5+Hipotesis!$C$15+Hipotesis!$C$16-Hipotesis!$C$14)/Hipotesis!$C$8</f>
        <v>50.6490226791434</v>
      </c>
      <c r="N11" s="109" t="n">
        <f aca="false">((C33/(1+$L$11)^0.5 + D33/(1+$L$11)^1.5 + E33/(1+$L$11)^2.5 + F33/(1+$L$11)^3.5 + G33/(1+$L$11)^4.5)+(G33*(1+N$7)/($L$11-N$7))/(1+$L$11)^5+Hipotesis!$C$15+Hipotesis!$C$16-Hipotesis!$C$14)/Hipotesis!$C$8</f>
        <v>53.2895894842472</v>
      </c>
      <c r="O11" s="109" t="n">
        <f aca="false">((C33/(1+$L$11)^0.5 + D33/(1+$L$11)^1.5 + E33/(1+$L$11)^2.5 + F33/(1+$L$11)^3.5 + G33/(1+$L$11)^4.5)+(G33*(1+O$7)/($L$11-O$7))/(1+$L$11)^5+Hipotesis!$C$15+Hipotesis!$C$16-Hipotesis!$C$14)/Hipotesis!$C$8</f>
        <v>56.3073801186515</v>
      </c>
      <c r="P11" s="109" t="n">
        <f aca="false">((C33/(1+$L$11)^0.5 + D33/(1+$L$11)^1.5 + E33/(1+$L$11)^2.5 + F33/(1+$L$11)^3.5 + G33/(1+$L$11)^4.5)+(G33*(1+P$7)/($L$11-P$7))/(1+$L$11)^5+Hipotesis!$C$15+Hipotesis!$C$16-Hipotesis!$C$14)/Hipotesis!$C$8</f>
        <v>59.7894462352719</v>
      </c>
      <c r="Q11" s="109" t="n">
        <f aca="false">((C33/(1+$L$11)^0.5 + D33/(1+$L$11)^1.5 + E33/(1+$L$11)^2.5 + F33/(1+$L$11)^3.5 + G33/(1+$L$11)^4.5)+(G33*(1+Q$7)/($L$11-Q$7))/(1+$L$11)^5+Hipotesis!$C$15+Hipotesis!$C$16-Hipotesis!$C$14)/Hipotesis!$C$8</f>
        <v>63.8518567046623</v>
      </c>
    </row>
    <row r="12" customFormat="false" ht="15" hidden="false" customHeight="true" outlineLevel="0" collapsed="false">
      <c r="B12" s="90" t="s">
        <v>529</v>
      </c>
      <c r="C12" s="92" t="n">
        <f aca="false">C11/Historico!G76-1</f>
        <v>0.5</v>
      </c>
      <c r="D12" s="92" t="n">
        <f aca="false">D11/C11-1</f>
        <v>0.4</v>
      </c>
      <c r="E12" s="92" t="n">
        <f aca="false">E11/D11-1</f>
        <v>0.3</v>
      </c>
      <c r="F12" s="92" t="n">
        <f aca="false">F11/E11-1</f>
        <v>0.2</v>
      </c>
      <c r="G12" s="92" t="n">
        <f aca="false">G11/F11-1</f>
        <v>0.15</v>
      </c>
      <c r="H12" s="92" t="n">
        <f aca="false">H11/G11-1</f>
        <v>0.05</v>
      </c>
      <c r="L12" s="108" t="n">
        <v>0.11</v>
      </c>
      <c r="M12" s="109" t="n">
        <f aca="false">((C33/(1+$L$12)^0.5 + D33/(1+$L$12)^1.5 + E33/(1+$L$12)^2.5 + F33/(1+$L$12)^3.5 + G33/(1+$L$12)^4.5)+(G33*(1+M$7)/($L$12-M$7))/(1+$L$12)^5+Hipotesis!$C$15+Hipotesis!$C$16-Hipotesis!$C$14)/Hipotesis!$C$8</f>
        <v>44.7869806183309</v>
      </c>
      <c r="N12" s="109" t="n">
        <f aca="false">((C33/(1+$L$12)^0.5 + D33/(1+$L$12)^1.5 + E33/(1+$L$12)^2.5 + F33/(1+$L$12)^3.5 + G33/(1+$L$12)^4.5)+(G33*(1+N$7)/($L$12-N$7))/(1+$L$12)^5+Hipotesis!$C$15+Hipotesis!$C$16-Hipotesis!$C$14)/Hipotesis!$C$8</f>
        <v>46.7843840888158</v>
      </c>
      <c r="O12" s="109" t="n">
        <f aca="false">((C33/(1+$L$12)^0.5 + D33/(1+$L$12)^1.5 + E33/(1+$L$12)^2.5 + F33/(1+$L$12)^3.5 + G33/(1+$L$12)^4.5)+(G33*(1+O$7)/($L$12-O$7))/(1+$L$12)^5+Hipotesis!$C$15+Hipotesis!$C$16-Hipotesis!$C$14)/Hipotesis!$C$8</f>
        <v>49.0314629931114</v>
      </c>
      <c r="P12" s="109" t="n">
        <f aca="false">((C33/(1+$L$12)^0.5 + D33/(1+$L$12)^1.5 + E33/(1+$L$12)^2.5 + F33/(1+$L$12)^3.5 + G33/(1+$L$12)^4.5)+(G33*(1+P$7)/($L$12-P$7))/(1+$L$12)^5+Hipotesis!$C$15+Hipotesis!$C$16-Hipotesis!$C$14)/Hipotesis!$C$8</f>
        <v>51.5781524179796</v>
      </c>
      <c r="Q12" s="109" t="n">
        <f aca="false">((C33/(1+$L$12)^0.5 + D33/(1+$L$12)^1.5 + E33/(1+$L$12)^2.5 + F33/(1+$L$12)^3.5 + G33/(1+$L$12)^4.5)+(G33*(1+Q$7)/($L$12-Q$7))/(1+$L$12)^5+Hipotesis!$C$15+Hipotesis!$C$16-Hipotesis!$C$14)/Hipotesis!$C$8</f>
        <v>54.4886546178291</v>
      </c>
    </row>
    <row r="13" customFormat="false" ht="15" hidden="false" customHeight="true" outlineLevel="0" collapsed="false">
      <c r="B13" s="81" t="s">
        <v>530</v>
      </c>
      <c r="C13" s="111" t="n">
        <f aca="false">C7+C9+C11</f>
        <v>51084.5</v>
      </c>
      <c r="D13" s="111" t="n">
        <f aca="false">D7+D9+D11</f>
        <v>56771.1</v>
      </c>
      <c r="E13" s="111" t="n">
        <f aca="false">E7+E9+E11</f>
        <v>62369.166</v>
      </c>
      <c r="F13" s="111" t="n">
        <f aca="false">F7+F9+F11</f>
        <v>67419.83856</v>
      </c>
      <c r="G13" s="111" t="n">
        <f aca="false">G7+G9+G11</f>
        <v>71658.021288</v>
      </c>
      <c r="H13" s="111" t="n">
        <f aca="false">H7+H9+H11</f>
        <v>74007.21581064</v>
      </c>
    </row>
    <row r="14" customFormat="false" ht="15" hidden="false" customHeight="true" outlineLevel="0" collapsed="false">
      <c r="B14" s="90" t="s">
        <v>531</v>
      </c>
      <c r="C14" s="92" t="n">
        <f aca="false">C13/Historico!G6-1</f>
        <v>0.130613283757165</v>
      </c>
      <c r="D14" s="92" t="n">
        <f aca="false">D13/C13-1</f>
        <v>0.111317522927698</v>
      </c>
      <c r="E14" s="92" t="n">
        <f aca="false">E13/D13-1</f>
        <v>0.098607671861211</v>
      </c>
      <c r="F14" s="92" t="n">
        <f aca="false">F13/E13-1</f>
        <v>0.080980280544396</v>
      </c>
      <c r="G14" s="92" t="n">
        <f aca="false">G13/F13-1</f>
        <v>0.062862546373917</v>
      </c>
      <c r="H14" s="92" t="n">
        <f aca="false">H13/G13-1</f>
        <v>0.032783413223181</v>
      </c>
    </row>
    <row r="15" customFormat="false" ht="15" hidden="false" customHeight="true" outlineLevel="0" collapsed="false">
      <c r="L15" s="97" t="s">
        <v>532</v>
      </c>
      <c r="M15" s="97"/>
      <c r="N15" s="97"/>
      <c r="O15" s="97"/>
      <c r="P15" s="97"/>
      <c r="Q15" s="97"/>
      <c r="R15" s="97"/>
    </row>
    <row r="16" customFormat="false" ht="15" hidden="false" customHeight="true" outlineLevel="0" collapsed="false">
      <c r="B16" s="86" t="s">
        <v>533</v>
      </c>
      <c r="C16" s="86"/>
      <c r="D16" s="86"/>
      <c r="E16" s="86"/>
      <c r="F16" s="86"/>
      <c r="G16" s="86"/>
      <c r="H16" s="86"/>
    </row>
    <row r="17" customFormat="false" ht="15" hidden="false" customHeight="true" outlineLevel="0" collapsed="false">
      <c r="B17" s="87" t="s">
        <v>534</v>
      </c>
      <c r="C17" s="95" t="n">
        <f aca="false">C7*Hipotesis!C33</f>
        <v>15826.8</v>
      </c>
      <c r="D17" s="95" t="n">
        <f aca="false">D7*Hipotesis!D33</f>
        <v>17610.912</v>
      </c>
      <c r="E17" s="95" t="n">
        <f aca="false">E7*Hipotesis!E33</f>
        <v>19397.9016</v>
      </c>
      <c r="F17" s="95" t="n">
        <f aca="false">F7*Hipotesis!F33</f>
        <v>20855.5153488</v>
      </c>
      <c r="G17" s="95" t="n">
        <f aca="false">G7*Hipotesis!G33</f>
        <v>22206.71775168</v>
      </c>
      <c r="H17" s="95" t="n">
        <f aca="false">H7*Hipotesis!H33</f>
        <v>22872.9192842304</v>
      </c>
      <c r="L17" s="85" t="s">
        <v>535</v>
      </c>
      <c r="M17" s="107" t="n">
        <v>0.4</v>
      </c>
      <c r="N17" s="107" t="n">
        <v>0.43</v>
      </c>
      <c r="O17" s="107" t="n">
        <v>0.46</v>
      </c>
      <c r="P17" s="107" t="n">
        <v>0.49</v>
      </c>
      <c r="Q17" s="107" t="n">
        <v>0.52</v>
      </c>
    </row>
    <row r="18" customFormat="false" ht="15" hidden="false" customHeight="true" outlineLevel="0" collapsed="false">
      <c r="B18" s="90" t="s">
        <v>536</v>
      </c>
      <c r="C18" s="92" t="n">
        <f aca="false">C17/C7</f>
        <v>0.33</v>
      </c>
      <c r="D18" s="92" t="n">
        <f aca="false">D17/D7</f>
        <v>0.34</v>
      </c>
      <c r="E18" s="92" t="n">
        <f aca="false">E17/E7</f>
        <v>0.35</v>
      </c>
      <c r="F18" s="92" t="n">
        <f aca="false">F17/F7</f>
        <v>0.355</v>
      </c>
      <c r="G18" s="92" t="n">
        <f aca="false">G17/G7</f>
        <v>0.36</v>
      </c>
      <c r="H18" s="92" t="n">
        <f aca="false">H17/H7</f>
        <v>0.36</v>
      </c>
      <c r="L18" s="108" t="n">
        <v>0.075</v>
      </c>
      <c r="M18" s="109" t="n">
        <f aca="false">(C41+((G13*M$17*(1-Hipotesis!$C$13)+G28+G30+G32)*(1+Hipotesis!$C$47)/($L$18-Hipotesis!$C$47))/(1+$L$18)^5+Hipotesis!$C$15+Hipotesis!$C$16-Hipotesis!$C$14)/Hipotesis!$C$8</f>
        <v>99.2039769193699</v>
      </c>
      <c r="N18" s="109" t="n">
        <f aca="false">(C41+((G13*N$17*(1-Hipotesis!$C$13)+G28+G30+G32)*(1+Hipotesis!$C$47)/($L$18-Hipotesis!$C$47))/(1+$L$18)^5+Hipotesis!$C$15+Hipotesis!$C$16-Hipotesis!$C$14)/Hipotesis!$C$8</f>
        <v>105.712577211109</v>
      </c>
      <c r="O18" s="109" t="n">
        <f aca="false">(C41+((G13*O$17*(1-Hipotesis!$C$13)+G28+G30+G32)*(1+Hipotesis!$C$47)/($L$18-Hipotesis!$C$47))/(1+$L$18)^5+Hipotesis!$C$15+Hipotesis!$C$16-Hipotesis!$C$14)/Hipotesis!$C$8</f>
        <v>112.221177502847</v>
      </c>
      <c r="P18" s="109" t="n">
        <f aca="false">(C41+((G13*P$17*(1-Hipotesis!$C$13)+G28+G30+G32)*(1+Hipotesis!$C$47)/($L$18-Hipotesis!$C$47))/(1+$L$18)^5+Hipotesis!$C$15+Hipotesis!$C$16-Hipotesis!$C$14)/Hipotesis!$C$8</f>
        <v>118.729777794586</v>
      </c>
      <c r="Q18" s="109" t="n">
        <f aca="false">(C41+((G13*Q$17*(1-Hipotesis!$C$13)+G28+G30+G32)*(1+Hipotesis!$C$47)/($L$18-Hipotesis!$C$47))/(1+$L$18)^5+Hipotesis!$C$15+Hipotesis!$C$16-Hipotesis!$C$14)/Hipotesis!$C$8</f>
        <v>125.238378086324</v>
      </c>
    </row>
    <row r="19" customFormat="false" ht="15" hidden="false" customHeight="true" outlineLevel="0" collapsed="false">
      <c r="B19" s="87" t="s">
        <v>537</v>
      </c>
      <c r="C19" s="95" t="n">
        <f aca="false">C9*Hipotesis!C34</f>
        <v>150</v>
      </c>
      <c r="D19" s="95" t="n">
        <f aca="false">D9*Hipotesis!D34</f>
        <v>576</v>
      </c>
      <c r="E19" s="95" t="n">
        <f aca="false">E9*Hipotesis!E34</f>
        <v>1209.6</v>
      </c>
      <c r="F19" s="95" t="n">
        <f aca="false">F9*Hipotesis!F34</f>
        <v>1932</v>
      </c>
      <c r="G19" s="95" t="n">
        <f aca="false">G9*Hipotesis!G34</f>
        <v>2704.8</v>
      </c>
      <c r="H19" s="95" t="n">
        <f aca="false">H9*Hipotesis!H34</f>
        <v>3042.9</v>
      </c>
      <c r="L19" s="108" t="n">
        <v>0.085</v>
      </c>
      <c r="M19" s="109" t="n">
        <f aca="false">(C41+((G13*M$17*(1-Hipotesis!$C$13)+G28+G30+G32)*(1+Hipotesis!$C$47)/($L$19-Hipotesis!$C$47))/(1+$L$19)^5+Hipotesis!$C$15+Hipotesis!$C$16-Hipotesis!$C$14)/Hipotesis!$C$8</f>
        <v>80.5693642329085</v>
      </c>
      <c r="N19" s="109" t="n">
        <f aca="false">(C41+((G13*N$17*(1-Hipotesis!$C$13)+G28+G30+G32)*(1+Hipotesis!$C$47)/($L$19-Hipotesis!$C$47))/(1+$L$19)^5+Hipotesis!$C$15+Hipotesis!$C$16-Hipotesis!$C$14)/Hipotesis!$C$8</f>
        <v>85.6536629180386</v>
      </c>
      <c r="O19" s="109" t="n">
        <f aca="false">(C41+((G13*O$17*(1-Hipotesis!$C$13)+G28+G30+G32)*(1+Hipotesis!$C$47)/($L$19-Hipotesis!$C$47))/(1+$L$19)^5+Hipotesis!$C$15+Hipotesis!$C$16-Hipotesis!$C$14)/Hipotesis!$C$8</f>
        <v>90.7379616031687</v>
      </c>
      <c r="P19" s="109" t="n">
        <f aca="false">(C41+((G13*P$17*(1-Hipotesis!$C$13)+G28+G30+G32)*(1+Hipotesis!$C$47)/($L$19-Hipotesis!$C$47))/(1+$L$19)^5+Hipotesis!$C$15+Hipotesis!$C$16-Hipotesis!$C$14)/Hipotesis!$C$8</f>
        <v>95.8222602882988</v>
      </c>
      <c r="Q19" s="109" t="n">
        <f aca="false">(C41+((G13*Q$17*(1-Hipotesis!$C$13)+G28+G30+G32)*(1+Hipotesis!$C$47)/($L$19-Hipotesis!$C$47))/(1+$L$19)^5+Hipotesis!$C$15+Hipotesis!$C$16-Hipotesis!$C$14)/Hipotesis!$C$8</f>
        <v>100.906558973429</v>
      </c>
    </row>
    <row r="20" customFormat="false" ht="15" hidden="false" customHeight="true" outlineLevel="0" collapsed="false">
      <c r="B20" s="90" t="s">
        <v>538</v>
      </c>
      <c r="C20" s="92" t="n">
        <f aca="false">C19/C9</f>
        <v>0.05</v>
      </c>
      <c r="D20" s="92" t="n">
        <f aca="false">D19/D9</f>
        <v>0.12</v>
      </c>
      <c r="E20" s="92" t="n">
        <f aca="false">E19/E9</f>
        <v>0.18</v>
      </c>
      <c r="F20" s="92" t="n">
        <f aca="false">F19/F9</f>
        <v>0.23</v>
      </c>
      <c r="G20" s="92" t="n">
        <f aca="false">G19/G9</f>
        <v>0.28</v>
      </c>
      <c r="H20" s="92" t="n">
        <f aca="false">H19/H9</f>
        <v>0.3</v>
      </c>
      <c r="L20" s="108" t="n">
        <v>0.0912</v>
      </c>
      <c r="M20" s="109" t="n">
        <f aca="false">(C41+((G13*M$17*(1-Hipotesis!$C$13)+G28+G30+G32)*(1+Hipotesis!$C$47)/($L$20-Hipotesis!$C$47))/(1+$L$20)^5+Hipotesis!$C$15+Hipotesis!$C$16-Hipotesis!$C$14)/Hipotesis!$C$8</f>
        <v>72.1513284791357</v>
      </c>
      <c r="N20" s="109" t="n">
        <f aca="false">(C41+((G13*N$17*(1-Hipotesis!$C$13)+G28+G30+G32)*(1+Hipotesis!$C$47)/($L$20-Hipotesis!$C$47))/(1+$L$20)^5+Hipotesis!$C$15+Hipotesis!$C$16-Hipotesis!$C$14)/Hipotesis!$C$8</f>
        <v>76.5922104187545</v>
      </c>
      <c r="O20" s="110" t="n">
        <f aca="false">(C41+((G13*O$17*(1-Hipotesis!$C$13)+G28+G30+G32)*(1+Hipotesis!$C$47)/($L$20-Hipotesis!$C$47))/(1+$L$20)^5+Hipotesis!$C$15+Hipotesis!$C$16-Hipotesis!$C$14)/Hipotesis!$C$8</f>
        <v>81.0330923583733</v>
      </c>
      <c r="P20" s="109" t="n">
        <f aca="false">(C41+((G13*P$17*(1-Hipotesis!$C$13)+G28+G30+G32)*(1+Hipotesis!$C$47)/($L$20-Hipotesis!$C$47))/(1+$L$20)^5+Hipotesis!$C$15+Hipotesis!$C$16-Hipotesis!$C$14)/Hipotesis!$C$8</f>
        <v>85.4739742979921</v>
      </c>
      <c r="Q20" s="109" t="n">
        <f aca="false">(C41+((G13*Q$17*(1-Hipotesis!$C$13)+G28+G30+G32)*(1+Hipotesis!$C$47)/($L$20-Hipotesis!$C$47))/(1+$L$20)^5+Hipotesis!$C$15+Hipotesis!$C$16-Hipotesis!$C$14)/Hipotesis!$C$8</f>
        <v>89.914856237611</v>
      </c>
    </row>
    <row r="21" customFormat="false" ht="15" hidden="false" customHeight="true" outlineLevel="0" collapsed="false">
      <c r="B21" s="87" t="s">
        <v>539</v>
      </c>
      <c r="C21" s="95" t="n">
        <f aca="false">C11*Hipotesis!C35</f>
        <v>6.225</v>
      </c>
      <c r="D21" s="95" t="n">
        <f aca="false">D11*Hipotesis!D35</f>
        <v>17.43</v>
      </c>
      <c r="E21" s="95" t="n">
        <f aca="false">E11*Hipotesis!E35</f>
        <v>27.1908</v>
      </c>
      <c r="F21" s="95" t="n">
        <f aca="false">F11*Hipotesis!F35</f>
        <v>40.7862</v>
      </c>
      <c r="G21" s="95" t="n">
        <f aca="false">G11*Hipotesis!G35</f>
        <v>56.284956</v>
      </c>
      <c r="H21" s="95" t="n">
        <f aca="false">H11*Hipotesis!H35</f>
        <v>65.665782</v>
      </c>
      <c r="L21" s="108" t="n">
        <v>0.1</v>
      </c>
      <c r="M21" s="109" t="n">
        <f aca="false">(C41+((G13*M$17*(1-Hipotesis!$C$13)+G28+G30+G32)*(1+Hipotesis!$C$47)/($L$21-Hipotesis!$C$47))/(1+$L$21)^5+Hipotesis!$C$15+Hipotesis!$C$16-Hipotesis!$C$14)/Hipotesis!$C$8</f>
        <v>62.8474924876497</v>
      </c>
      <c r="N21" s="109" t="n">
        <f aca="false">(C41+((G13*N$17*(1-Hipotesis!$C$13)+G28+G30+G32)*(1+Hipotesis!$C$47)/($L$21-Hipotesis!$C$47))/(1+$L$21)^5+Hipotesis!$C$15+Hipotesis!$C$16-Hipotesis!$C$14)/Hipotesis!$C$8</f>
        <v>66.5772532049893</v>
      </c>
      <c r="O21" s="109" t="n">
        <f aca="false">(C41+((G13*O$17*(1-Hipotesis!$C$13)+G28+G30+G32)*(1+Hipotesis!$C$47)/($L$21-Hipotesis!$C$47))/(1+$L$21)^5+Hipotesis!$C$15+Hipotesis!$C$16-Hipotesis!$C$14)/Hipotesis!$C$8</f>
        <v>70.307013922329</v>
      </c>
      <c r="P21" s="109" t="n">
        <f aca="false">(C41+((G13*P$17*(1-Hipotesis!$C$13)+G28+G30+G32)*(1+Hipotesis!$C$47)/($L$21-Hipotesis!$C$47))/(1+$L$21)^5+Hipotesis!$C$15+Hipotesis!$C$16-Hipotesis!$C$14)/Hipotesis!$C$8</f>
        <v>74.0367746396686</v>
      </c>
      <c r="Q21" s="109" t="n">
        <f aca="false">(C41+((G13*Q$17*(1-Hipotesis!$C$13)+G28+G30+G32)*(1+Hipotesis!$C$47)/($L$21-Hipotesis!$C$47))/(1+$L$21)^5+Hipotesis!$C$15+Hipotesis!$C$16-Hipotesis!$C$14)/Hipotesis!$C$8</f>
        <v>77.7665353570082</v>
      </c>
    </row>
    <row r="22" customFormat="false" ht="15" hidden="false" customHeight="true" outlineLevel="0" collapsed="false">
      <c r="B22" s="90" t="s">
        <v>540</v>
      </c>
      <c r="C22" s="92" t="n">
        <f aca="false">C21/C11</f>
        <v>0.05</v>
      </c>
      <c r="D22" s="92" t="n">
        <f aca="false">D21/D11</f>
        <v>0.1</v>
      </c>
      <c r="E22" s="92" t="n">
        <f aca="false">E21/E11</f>
        <v>0.12</v>
      </c>
      <c r="F22" s="92" t="n">
        <f aca="false">F21/F11</f>
        <v>0.15</v>
      </c>
      <c r="G22" s="92" t="n">
        <f aca="false">G21/G11</f>
        <v>0.18</v>
      </c>
      <c r="H22" s="92" t="n">
        <f aca="false">H21/H11</f>
        <v>0.2</v>
      </c>
      <c r="L22" s="108" t="n">
        <v>0.11</v>
      </c>
      <c r="M22" s="109" t="n">
        <f aca="false">(C41+((G13*M$17*(1-Hipotesis!$C$13)+G28+G30+G32)*(1+Hipotesis!$C$47)/($L$22-Hipotesis!$C$47))/(1+$L$22)^5+Hipotesis!$C$15+Hipotesis!$C$16-Hipotesis!$C$14)/Hipotesis!$C$8</f>
        <v>54.858790616623</v>
      </c>
      <c r="N22" s="109" t="n">
        <f aca="false">(C41+((G13*N$17*(1-Hipotesis!$C$13)+G28+G30+G32)*(1+Hipotesis!$C$47)/($L$22-Hipotesis!$C$47))/(1+$L$22)^5+Hipotesis!$C$15+Hipotesis!$C$16-Hipotesis!$C$14)/Hipotesis!$C$8</f>
        <v>57.9779499170688</v>
      </c>
      <c r="O22" s="109" t="n">
        <f aca="false">(C41+((G13*O$17*(1-Hipotesis!$C$13)+G28+G30+G32)*(1+Hipotesis!$C$47)/($L$22-Hipotesis!$C$47))/(1+$L$22)^5+Hipotesis!$C$15+Hipotesis!$C$16-Hipotesis!$C$14)/Hipotesis!$C$8</f>
        <v>61.0971092175147</v>
      </c>
      <c r="P22" s="109" t="n">
        <f aca="false">(C41+((G13*P$17*(1-Hipotesis!$C$13)+G28+G30+G32)*(1+Hipotesis!$C$47)/($L$22-Hipotesis!$C$47))/(1+$L$22)^5+Hipotesis!$C$15+Hipotesis!$C$16-Hipotesis!$C$14)/Hipotesis!$C$8</f>
        <v>64.2162685179605</v>
      </c>
      <c r="Q22" s="109" t="n">
        <f aca="false">(C41+((G13*Q$17*(1-Hipotesis!$C$13)+G28+G30+G32)*(1+Hipotesis!$C$47)/($L$22-Hipotesis!$C$47))/(1+$L$22)^5+Hipotesis!$C$15+Hipotesis!$C$16-Hipotesis!$C$14)/Hipotesis!$C$8</f>
        <v>67.3354278184064</v>
      </c>
    </row>
    <row r="23" customFormat="false" ht="15" hidden="false" customHeight="true" outlineLevel="0" collapsed="false">
      <c r="B23" s="81" t="s">
        <v>541</v>
      </c>
      <c r="C23" s="111" t="n">
        <f aca="false">C17+C19+C21</f>
        <v>15983.025</v>
      </c>
      <c r="D23" s="111" t="n">
        <f aca="false">D17+D19+D21</f>
        <v>18204.342</v>
      </c>
      <c r="E23" s="111" t="n">
        <f aca="false">E17+E19+E21</f>
        <v>20634.6924</v>
      </c>
      <c r="F23" s="111" t="n">
        <f aca="false">F17+F19+F21</f>
        <v>22828.3015488</v>
      </c>
      <c r="G23" s="111" t="n">
        <f aca="false">G17+G19+G21</f>
        <v>24967.80270768</v>
      </c>
      <c r="H23" s="111" t="n">
        <f aca="false">H17+H19+H21</f>
        <v>25981.4850662304</v>
      </c>
    </row>
    <row r="24" customFormat="false" ht="15" hidden="false" customHeight="true" outlineLevel="0" collapsed="false">
      <c r="B24" s="90" t="s">
        <v>382</v>
      </c>
      <c r="C24" s="92" t="n">
        <f aca="false">C23/C13</f>
        <v>0.312874257357907</v>
      </c>
      <c r="D24" s="92" t="n">
        <f aca="false">D23/D13</f>
        <v>0.320662132669615</v>
      </c>
      <c r="E24" s="92" t="n">
        <f aca="false">E23/E13</f>
        <v>0.330847656356348</v>
      </c>
      <c r="F24" s="92" t="n">
        <f aca="false">F23/F13</f>
        <v>0.338599172534121</v>
      </c>
      <c r="G24" s="92" t="n">
        <f aca="false">G23/G13</f>
        <v>0.348429976978183</v>
      </c>
      <c r="H24" s="92" t="n">
        <f aca="false">H23/H13</f>
        <v>0.351066916673483</v>
      </c>
      <c r="L24" s="97" t="s">
        <v>542</v>
      </c>
      <c r="M24" s="97"/>
      <c r="N24" s="97"/>
      <c r="O24" s="97"/>
      <c r="P24" s="97"/>
      <c r="Q24" s="97"/>
      <c r="R24" s="97"/>
    </row>
    <row r="26" customFormat="false" ht="15" hidden="false" customHeight="true" outlineLevel="0" collapsed="false">
      <c r="B26" s="86" t="s">
        <v>543</v>
      </c>
      <c r="C26" s="86"/>
      <c r="D26" s="86"/>
      <c r="E26" s="86"/>
      <c r="F26" s="86"/>
      <c r="G26" s="86"/>
      <c r="H26" s="86"/>
      <c r="L26" s="85" t="s">
        <v>544</v>
      </c>
      <c r="M26" s="107" t="n">
        <v>0.02</v>
      </c>
      <c r="N26" s="107" t="n">
        <v>0.025</v>
      </c>
      <c r="O26" s="107" t="n">
        <v>0.03</v>
      </c>
      <c r="P26" s="107" t="n">
        <v>0.035</v>
      </c>
      <c r="Q26" s="107" t="n">
        <v>0.04</v>
      </c>
    </row>
    <row r="27" customFormat="false" ht="15" hidden="false" customHeight="true" outlineLevel="0" collapsed="false">
      <c r="B27" s="87" t="s">
        <v>545</v>
      </c>
      <c r="C27" s="95" t="n">
        <f aca="false">C23*(1-Hipotesis!$C$13)</f>
        <v>12786.42</v>
      </c>
      <c r="D27" s="95" t="n">
        <f aca="false">D23*(1-Hipotesis!$C$13)</f>
        <v>14563.4736</v>
      </c>
      <c r="E27" s="95" t="n">
        <f aca="false">E23*(1-Hipotesis!$C$13)</f>
        <v>16507.75392</v>
      </c>
      <c r="F27" s="95" t="n">
        <f aca="false">F23*(1-Hipotesis!$C$13)</f>
        <v>18262.64123904</v>
      </c>
      <c r="G27" s="95" t="n">
        <f aca="false">G23*(1-Hipotesis!$C$13)</f>
        <v>19974.242166144</v>
      </c>
      <c r="H27" s="95" t="n">
        <f aca="false">H23*(1-Hipotesis!$C$13)</f>
        <v>20785.1880529843</v>
      </c>
      <c r="L27" s="107" t="n">
        <v>0.1</v>
      </c>
      <c r="M27" s="109" t="n">
        <f aca="false">(C41+((G27+G28+(-G13*$L$27)+G32)*(1+M$26)/(Hipotesis!$C$25-M$26))/(1+Hipotesis!$C$25)^5+Hipotesis!$C$15+Hipotesis!$C$16-Hipotesis!$C$14)/Hipotesis!$C$8</f>
        <v>40.8730632101542</v>
      </c>
      <c r="N27" s="109" t="n">
        <f aca="false">(C41+((G27+G28+(-G13*$L$27)+G32)*(1+N$26)/(Hipotesis!$C$25-N$26))/(1+Hipotesis!$C$25)^5+Hipotesis!$C$15+Hipotesis!$C$16-Hipotesis!$C$14)/Hipotesis!$C$8</f>
        <v>42.8952783785644</v>
      </c>
      <c r="O27" s="109" t="n">
        <f aca="false">(C41+((G27+G28+(-G13*$L$27)+G32)*(1+O$26)/(Hipotesis!$C$25-O$26))/(1+Hipotesis!$C$25)^5+Hipotesis!$C$15+Hipotesis!$C$16-Hipotesis!$C$14)/Hipotesis!$C$8</f>
        <v>45.22258891156</v>
      </c>
      <c r="P27" s="109" t="n">
        <f aca="false">(C41+((G27+G28+(-G13*$L$27)+G32)*(1+P$26)/(Hipotesis!$C$25-P$26))/(1+Hipotesis!$C$25)^5+Hipotesis!$C$15+Hipotesis!$C$16-Hipotesis!$C$14)/Hipotesis!$C$8</f>
        <v>47.9296737417713</v>
      </c>
      <c r="Q27" s="109" t="n">
        <f aca="false">(C41+((G27+G28+(-G13*$L$27)+G32)*(1+Q$26)/(Hipotesis!$C$25-Q$26))/(1+Hipotesis!$C$25)^5+Hipotesis!$C$15+Hipotesis!$C$16-Hipotesis!$C$14)/Hipotesis!$C$8</f>
        <v>51.1177494914265</v>
      </c>
    </row>
    <row r="28" customFormat="false" ht="15" hidden="false" customHeight="true" outlineLevel="0" collapsed="false">
      <c r="B28" s="87" t="s">
        <v>546</v>
      </c>
      <c r="C28" s="95" t="n">
        <f aca="false">C13*Hipotesis!C40</f>
        <v>408.676</v>
      </c>
      <c r="D28" s="95" t="n">
        <f aca="false">D13*Hipotesis!D40</f>
        <v>454.1688</v>
      </c>
      <c r="E28" s="95" t="n">
        <f aca="false">E13*Hipotesis!E40</f>
        <v>498.953328</v>
      </c>
      <c r="F28" s="95" t="n">
        <f aca="false">F13*Hipotesis!F40</f>
        <v>539.35870848</v>
      </c>
      <c r="G28" s="95" t="n">
        <f aca="false">G13*Hipotesis!G40</f>
        <v>573.264170304</v>
      </c>
      <c r="H28" s="95" t="n">
        <f aca="false">H13*Hipotesis!H40</f>
        <v>592.05772648512</v>
      </c>
      <c r="L28" s="107" t="n">
        <v>0.125</v>
      </c>
      <c r="M28" s="109" t="n">
        <f aca="false">(C41+((G27+G28+(-G13*$L$28)+G32)*(1+M$26)/(Hipotesis!$C$25-M$26))/(1+Hipotesis!$C$25)^5+Hipotesis!$C$15+Hipotesis!$C$16-Hipotesis!$C$14)/Hipotesis!$C$8</f>
        <v>37.2821478278056</v>
      </c>
      <c r="N28" s="109" t="n">
        <f aca="false">(C41+((G27+G28+(-G13*$L$28)+G32)*(1+N$26)/(Hipotesis!$C$25-N$26))/(1+Hipotesis!$C$25)^5+Hipotesis!$C$15+Hipotesis!$C$16-Hipotesis!$C$14)/Hipotesis!$C$8</f>
        <v>39.0336427364151</v>
      </c>
      <c r="O28" s="109" t="n">
        <f aca="false">(C41+((G27+G28+(-G13*$L$28)+G32)*(1+O$26)/(Hipotesis!$C$25-O$26))/(1+Hipotesis!$C$25)^5+Hipotesis!$C$15+Hipotesis!$C$16-Hipotesis!$C$14)/Hipotesis!$C$8</f>
        <v>41.049388940366</v>
      </c>
      <c r="P28" s="109" t="n">
        <f aca="false">(C41+((G27+G28+(-G13*$L$28)+G32)*(1+P$26)/(Hipotesis!$C$25-P$26))/(1+Hipotesis!$C$25)^5+Hipotesis!$C$15+Hipotesis!$C$16-Hipotesis!$C$14)/Hipotesis!$C$8</f>
        <v>43.3940678703617</v>
      </c>
      <c r="Q28" s="109" t="n">
        <f aca="false">(C41+((G27+G28+(-G13*$L$28)+G32)*(1+Q$26)/(Hipotesis!$C$25-Q$26))/(1+Hipotesis!$C$25)^5+Hipotesis!$C$15+Hipotesis!$C$16-Hipotesis!$C$14)/Hipotesis!$C$8</f>
        <v>46.1553459633216</v>
      </c>
    </row>
    <row r="29" customFormat="false" ht="15" hidden="false" customHeight="true" outlineLevel="0" collapsed="false">
      <c r="B29" s="90" t="s">
        <v>423</v>
      </c>
      <c r="C29" s="92" t="n">
        <f aca="false">C28/C13</f>
        <v>0.008</v>
      </c>
      <c r="D29" s="92" t="n">
        <f aca="false">D28/D13</f>
        <v>0.008</v>
      </c>
      <c r="E29" s="92" t="n">
        <f aca="false">E28/E13</f>
        <v>0.008</v>
      </c>
      <c r="F29" s="92" t="n">
        <f aca="false">F28/F13</f>
        <v>0.008</v>
      </c>
      <c r="G29" s="92" t="n">
        <f aca="false">G28/G13</f>
        <v>0.008</v>
      </c>
      <c r="H29" s="92" t="n">
        <f aca="false">H28/H13</f>
        <v>0.008</v>
      </c>
      <c r="L29" s="107" t="n">
        <v>0.15</v>
      </c>
      <c r="M29" s="109" t="n">
        <f aca="false">(C41+((G27+G28+(-G13*$L$29)+G32)*(1+M$26)/(Hipotesis!$C$25-M$26))/(1+Hipotesis!$C$25)^5+Hipotesis!$C$15+Hipotesis!$C$16-Hipotesis!$C$14)/Hipotesis!$C$8</f>
        <v>33.6912324454571</v>
      </c>
      <c r="N29" s="109" t="n">
        <f aca="false">(C41+((G27+G28+(-G13*$L$29)+G32)*(1+N$26)/(Hipotesis!$C$25-N$26))/(1+Hipotesis!$C$25)^5+Hipotesis!$C$15+Hipotesis!$C$16-Hipotesis!$C$14)/Hipotesis!$C$8</f>
        <v>35.1720070942658</v>
      </c>
      <c r="O29" s="110" t="n">
        <f aca="false">(C41+((G27+G28+(-G13*$L$29)+G32)*(1+O$26)/(Hipotesis!$C$25-O$26))/(1+Hipotesis!$C$25)^5+Hipotesis!$C$15+Hipotesis!$C$16-Hipotesis!$C$14)/Hipotesis!$C$8</f>
        <v>36.8761889691721</v>
      </c>
      <c r="P29" s="109" t="n">
        <f aca="false">(C41+((G27+G28+(-G13*$L$29)+G32)*(1+P$26)/(Hipotesis!$C$25-P$26))/(1+Hipotesis!$C$25)^5+Hipotesis!$C$15+Hipotesis!$C$16-Hipotesis!$C$14)/Hipotesis!$C$8</f>
        <v>38.8584619989521</v>
      </c>
      <c r="Q29" s="109" t="n">
        <f aca="false">(C41+((G27+G28+(-G13*$L$29)+G32)*(1+Q$26)/(Hipotesis!$C$25-Q$26))/(1+Hipotesis!$C$25)^5+Hipotesis!$C$15+Hipotesis!$C$16-Hipotesis!$C$14)/Hipotesis!$C$8</f>
        <v>41.1929424352166</v>
      </c>
    </row>
    <row r="30" customFormat="false" ht="15" hidden="false" customHeight="true" outlineLevel="0" collapsed="false">
      <c r="B30" s="87" t="s">
        <v>547</v>
      </c>
      <c r="C30" s="98" t="n">
        <f aca="false">-C13*Hipotesis!C39</f>
        <v>-766.2675</v>
      </c>
      <c r="D30" s="98" t="n">
        <f aca="false">-D13*Hipotesis!D39</f>
        <v>-851.5665</v>
      </c>
      <c r="E30" s="98" t="n">
        <f aca="false">-E13*Hipotesis!E39</f>
        <v>-935.53749</v>
      </c>
      <c r="F30" s="98" t="n">
        <f aca="false">-F13*Hipotesis!F39</f>
        <v>-943.87773984</v>
      </c>
      <c r="G30" s="98" t="n">
        <f aca="false">-G13*Hipotesis!G39</f>
        <v>-1003.212298032</v>
      </c>
      <c r="H30" s="98" t="n">
        <f aca="false">-H13*Hipotesis!H39</f>
        <v>-962.09380553832</v>
      </c>
      <c r="L30" s="107" t="n">
        <v>0.175</v>
      </c>
      <c r="M30" s="109" t="n">
        <f aca="false">(C41+((G27+G28+(-G13*$L$30)+G32)*(1+M$26)/(Hipotesis!$C$25-M$26))/(1+Hipotesis!$C$25)^5+Hipotesis!$C$15+Hipotesis!$C$16-Hipotesis!$C$14)/Hipotesis!$C$8</f>
        <v>30.1003170631085</v>
      </c>
      <c r="N30" s="109" t="n">
        <f aca="false">(C41+((G27+G28+(-G13*$L$30)+G32)*(1+N$26)/(Hipotesis!$C$25-N$26))/(1+Hipotesis!$C$25)^5+Hipotesis!$C$15+Hipotesis!$C$16-Hipotesis!$C$14)/Hipotesis!$C$8</f>
        <v>31.3103714521165</v>
      </c>
      <c r="O30" s="109" t="n">
        <f aca="false">(C41+((G27+G28+(-G13*$L$30)+G32)*(1+O$26)/(Hipotesis!$C$25-O$26))/(1+Hipotesis!$C$25)^5+Hipotesis!$C$15+Hipotesis!$C$16-Hipotesis!$C$14)/Hipotesis!$C$8</f>
        <v>32.7029889979781</v>
      </c>
      <c r="P30" s="109" t="n">
        <f aca="false">(C41+((G27+G28+(-G13*$L$30)+G32)*(1+P$26)/(Hipotesis!$C$25-P$26))/(1+Hipotesis!$C$25)^5+Hipotesis!$C$15+Hipotesis!$C$16-Hipotesis!$C$14)/Hipotesis!$C$8</f>
        <v>34.3228561275425</v>
      </c>
      <c r="Q30" s="109" t="n">
        <f aca="false">(C41+((G27+G28+(-G13*$L$30)+G32)*(1+Q$26)/(Hipotesis!$C$25-Q$26))/(1+Hipotesis!$C$25)^5+Hipotesis!$C$15+Hipotesis!$C$16-Hipotesis!$C$14)/Hipotesis!$C$8</f>
        <v>36.2305389071117</v>
      </c>
    </row>
    <row r="31" customFormat="false" ht="15" hidden="false" customHeight="true" outlineLevel="0" collapsed="false">
      <c r="B31" s="90" t="s">
        <v>410</v>
      </c>
      <c r="C31" s="92" t="n">
        <f aca="false">-C30/C13</f>
        <v>0.015</v>
      </c>
      <c r="D31" s="92" t="n">
        <f aca="false">-D30/D13</f>
        <v>0.015</v>
      </c>
      <c r="E31" s="92" t="n">
        <f aca="false">-E30/E13</f>
        <v>0.015</v>
      </c>
      <c r="F31" s="92" t="n">
        <f aca="false">-F30/F13</f>
        <v>0.014</v>
      </c>
      <c r="G31" s="92" t="n">
        <f aca="false">-G30/G13</f>
        <v>0.014</v>
      </c>
      <c r="H31" s="92" t="n">
        <f aca="false">-H30/H13</f>
        <v>0.013</v>
      </c>
      <c r="L31" s="107" t="n">
        <v>0.2</v>
      </c>
      <c r="M31" s="109" t="n">
        <f aca="false">(C41+((G27+G28+(-G13*$L$31)+G32)*(1+M$26)/(Hipotesis!$C$25-M$26))/(1+Hipotesis!$C$25)^5+Hipotesis!$C$15+Hipotesis!$C$16-Hipotesis!$C$14)/Hipotesis!$C$8</f>
        <v>26.50940168076</v>
      </c>
      <c r="N31" s="109" t="n">
        <f aca="false">(C41+((G27+G28+(-G13*$L$31)+G32)*(1+N$26)/(Hipotesis!$C$25-N$26))/(1+Hipotesis!$C$25)^5+Hipotesis!$C$15+Hipotesis!$C$16-Hipotesis!$C$14)/Hipotesis!$C$8</f>
        <v>27.4487358099671</v>
      </c>
      <c r="O31" s="109" t="n">
        <f aca="false">(C41+((G27+G28+(-G13*$L$31)+G32)*(1+O$26)/(Hipotesis!$C$25-O$26))/(1+Hipotesis!$C$25)^5+Hipotesis!$C$15+Hipotesis!$C$16-Hipotesis!$C$14)/Hipotesis!$C$8</f>
        <v>28.5297890267842</v>
      </c>
      <c r="P31" s="109" t="n">
        <f aca="false">(C41+((G27+G28+(-G13*$L$31)+G32)*(1+P$26)/(Hipotesis!$C$25-P$26))/(1+Hipotesis!$C$25)^5+Hipotesis!$C$15+Hipotesis!$C$16-Hipotesis!$C$14)/Hipotesis!$C$8</f>
        <v>29.7872502561328</v>
      </c>
      <c r="Q31" s="109" t="n">
        <f aca="false">(C41+((G27+G28+(-G13*$L$31)+G32)*(1+Q$26)/(Hipotesis!$C$25-Q$26))/(1+Hipotesis!$C$25)^5+Hipotesis!$C$15+Hipotesis!$C$16-Hipotesis!$C$14)/Hipotesis!$C$8</f>
        <v>31.2681353790068</v>
      </c>
    </row>
    <row r="32" customFormat="false" ht="15" hidden="false" customHeight="true" outlineLevel="0" collapsed="false">
      <c r="B32" s="87" t="s">
        <v>548</v>
      </c>
      <c r="C32" s="98" t="n">
        <f aca="false">-C13*Hipotesis!C42</f>
        <v>255.4225</v>
      </c>
      <c r="D32" s="98" t="n">
        <f aca="false">-D13*Hipotesis!D42</f>
        <v>283.8555</v>
      </c>
      <c r="E32" s="98" t="n">
        <f aca="false">-E13*Hipotesis!E42</f>
        <v>311.84583</v>
      </c>
      <c r="F32" s="98" t="n">
        <f aca="false">-F13*Hipotesis!F42</f>
        <v>-0</v>
      </c>
      <c r="G32" s="98" t="n">
        <f aca="false">-G13*Hipotesis!G42</f>
        <v>-0</v>
      </c>
      <c r="H32" s="98" t="n">
        <f aca="false">-H13*Hipotesis!H42</f>
        <v>-0</v>
      </c>
    </row>
    <row r="33" customFormat="false" ht="15" hidden="false" customHeight="true" outlineLevel="0" collapsed="false">
      <c r="B33" s="81" t="s">
        <v>549</v>
      </c>
      <c r="C33" s="111" t="n">
        <f aca="false">C27+C28+C30+C32</f>
        <v>12684.251</v>
      </c>
      <c r="D33" s="111" t="n">
        <f aca="false">D27+D28+D30+D32</f>
        <v>14449.9314</v>
      </c>
      <c r="E33" s="111" t="n">
        <f aca="false">E27+E28+E30+E32</f>
        <v>16383.015588</v>
      </c>
      <c r="F33" s="111" t="n">
        <f aca="false">F27+F28+F30+F32</f>
        <v>17858.12220768</v>
      </c>
      <c r="G33" s="111" t="n">
        <f aca="false">G27+G28+G30+G32</f>
        <v>19544.294038416</v>
      </c>
      <c r="H33" s="111" t="n">
        <f aca="false">H27+H28+H30+H32</f>
        <v>20415.1519739311</v>
      </c>
      <c r="L33" s="97" t="s">
        <v>550</v>
      </c>
      <c r="M33" s="97"/>
      <c r="N33" s="97"/>
      <c r="O33" s="97"/>
      <c r="P33" s="97"/>
      <c r="Q33" s="97"/>
      <c r="R33" s="97"/>
    </row>
    <row r="34" customFormat="false" ht="15" hidden="false" customHeight="true" outlineLevel="0" collapsed="false">
      <c r="B34" s="90" t="s">
        <v>551</v>
      </c>
      <c r="C34" s="92" t="n">
        <f aca="false">C33/C13</f>
        <v>0.248299405886326</v>
      </c>
      <c r="D34" s="92" t="n">
        <f aca="false">D33/D13</f>
        <v>0.254529706135692</v>
      </c>
      <c r="E34" s="92" t="n">
        <f aca="false">E33/E13</f>
        <v>0.262678125085078</v>
      </c>
      <c r="F34" s="92" t="n">
        <f aca="false">F33/F13</f>
        <v>0.264879338027296</v>
      </c>
      <c r="G34" s="92" t="n">
        <f aca="false">G33/G13</f>
        <v>0.272743981582547</v>
      </c>
      <c r="H34" s="92" t="n">
        <f aca="false">H33/H13</f>
        <v>0.275853533338786</v>
      </c>
    </row>
    <row r="35" customFormat="false" ht="15" hidden="false" customHeight="true" outlineLevel="0" collapsed="false">
      <c r="B35" s="90" t="s">
        <v>552</v>
      </c>
      <c r="C35" s="92" t="n">
        <f aca="false">C33/C27</f>
        <v>0.992009569527671</v>
      </c>
      <c r="D35" s="92" t="n">
        <f aca="false">D33/D27</f>
        <v>0.992203631968681</v>
      </c>
      <c r="E35" s="92" t="n">
        <f aca="false">E33/E27</f>
        <v>0.992443652079834</v>
      </c>
      <c r="F35" s="92" t="n">
        <f aca="false">F33/F27</f>
        <v>0.977849916336567</v>
      </c>
      <c r="G35" s="92" t="n">
        <f aca="false">G33/G27</f>
        <v>0.978474871579521</v>
      </c>
      <c r="H35" s="92" t="n">
        <f aca="false">H33/H27</f>
        <v>0.982197126236726</v>
      </c>
      <c r="L35" s="85" t="s">
        <v>553</v>
      </c>
      <c r="M35" s="112" t="n">
        <v>16</v>
      </c>
      <c r="N35" s="112" t="n">
        <v>18</v>
      </c>
      <c r="O35" s="112" t="n">
        <v>20</v>
      </c>
      <c r="P35" s="112" t="n">
        <v>22</v>
      </c>
      <c r="Q35" s="112" t="n">
        <v>24</v>
      </c>
    </row>
    <row r="36" customFormat="false" ht="15" hidden="false" customHeight="true" outlineLevel="0" collapsed="false">
      <c r="L36" s="108" t="n">
        <v>0.075</v>
      </c>
      <c r="M36" s="109" t="n">
        <f aca="false">((C33/(1+$L$36)^0.5 + D33/(1+$L$36)^1.5 + E33/(1+$L$36)^2.5 + F33/(1+$L$36)^3.5 + G33/(1+$L$36)^4.5)+(M$35*(G23+G28))/(1+$L$36)^5+Hipotesis!$C$15+Hipotesis!$C$16-Hipotesis!$C$14)/Hipotesis!$C$8</f>
        <v>82.3923951704306</v>
      </c>
      <c r="N36" s="109" t="n">
        <f aca="false">((C33/(1+$L$36)^0.5 + D33/(1+$L$36)^1.5 + E33/(1+$L$36)^2.5 + F33/(1+$L$36)^3.5 + G33/(1+$L$36)^4.5)+(N$35*(G23+G28))/(1+$L$36)^5+Hipotesis!$C$15+Hipotesis!$C$16-Hipotesis!$C$14)/Hipotesis!$C$8</f>
        <v>90.8384883214425</v>
      </c>
      <c r="O36" s="109" t="n">
        <f aca="false">((C33/(1+$L$36)^0.5 + D33/(1+$L$36)^1.5 + E33/(1+$L$36)^2.5 + F33/(1+$L$36)^3.5 + G33/(1+$L$36)^4.5)+(O$35*(G23+G28))/(1+$L$36)^5+Hipotesis!$C$15+Hipotesis!$C$16-Hipotesis!$C$14)/Hipotesis!$C$8</f>
        <v>99.2845814724543</v>
      </c>
      <c r="P36" s="109" t="n">
        <f aca="false">((C33/(1+$L$36)^0.5 + D33/(1+$L$36)^1.5 + E33/(1+$L$36)^2.5 + F33/(1+$L$36)^3.5 + G33/(1+$L$36)^4.5)+(P$35*(G23+G28))/(1+$L$36)^5+Hipotesis!$C$15+Hipotesis!$C$16-Hipotesis!$C$14)/Hipotesis!$C$8</f>
        <v>107.730674623466</v>
      </c>
      <c r="Q36" s="109" t="n">
        <f aca="false">((C33/(1+$L$36)^0.5 + D33/(1+$L$36)^1.5 + E33/(1+$L$36)^2.5 + F33/(1+$L$36)^3.5 + G33/(1+$L$36)^4.5)+(Q$35*(G23+G28))/(1+$L$36)^5+Hipotesis!$C$15+Hipotesis!$C$16-Hipotesis!$C$14)/Hipotesis!$C$8</f>
        <v>116.176767774478</v>
      </c>
    </row>
    <row r="37" customFormat="false" ht="15" hidden="false" customHeight="true" outlineLevel="0" collapsed="false">
      <c r="B37" s="86" t="s">
        <v>554</v>
      </c>
      <c r="C37" s="86"/>
      <c r="D37" s="86"/>
      <c r="E37" s="86"/>
      <c r="F37" s="86"/>
      <c r="G37" s="86"/>
      <c r="H37" s="86"/>
      <c r="L37" s="108" t="n">
        <v>0.085</v>
      </c>
      <c r="M37" s="109" t="n">
        <f aca="false">((C33/(1+$L$37)^0.5 + D33/(1+$L$37)^1.5 + E33/(1+$L$37)^2.5 + F33/(1+$L$37)^3.5 + G33/(1+$L$37)^4.5)+(M$35*(G23+G28))/(1+$L$37)^5+Hipotesis!$C$15+Hipotesis!$C$16-Hipotesis!$C$14)/Hipotesis!$C$8</f>
        <v>78.9636873272278</v>
      </c>
      <c r="N37" s="109" t="n">
        <f aca="false">((C33/(1+$L$37)^0.5 + D33/(1+$L$37)^1.5 + E33/(1+$L$37)^2.5 + F33/(1+$L$37)^3.5 + G33/(1+$L$37)^4.5)+(N$35*(G23+G28))/(1+$L$37)^5+Hipotesis!$C$15+Hipotesis!$C$16-Hipotesis!$C$14)/Hipotesis!$C$8</f>
        <v>87.0276683531996</v>
      </c>
      <c r="O37" s="109" t="n">
        <f aca="false">((C33/(1+$L$37)^0.5 + D33/(1+$L$37)^1.5 + E33/(1+$L$37)^2.5 + F33/(1+$L$37)^3.5 + G33/(1+$L$37)^4.5)+(O$35*(G23+G28))/(1+$L$37)^5+Hipotesis!$C$15+Hipotesis!$C$16-Hipotesis!$C$14)/Hipotesis!$C$8</f>
        <v>95.0916493791715</v>
      </c>
      <c r="P37" s="109" t="n">
        <f aca="false">((C33/(1+$L$37)^0.5 + D33/(1+$L$37)^1.5 + E33/(1+$L$37)^2.5 + F33/(1+$L$37)^3.5 + G33/(1+$L$37)^4.5)+(P$35*(G23+G28))/(1+$L$37)^5+Hipotesis!$C$15+Hipotesis!$C$16-Hipotesis!$C$14)/Hipotesis!$C$8</f>
        <v>103.155630405143</v>
      </c>
      <c r="Q37" s="109" t="n">
        <f aca="false">((C33/(1+$L$37)^0.5 + D33/(1+$L$37)^1.5 + E33/(1+$L$37)^2.5 + F33/(1+$L$37)^3.5 + G33/(1+$L$37)^4.5)+(Q$35*(G23+G28))/(1+$L$37)^5+Hipotesis!$C$15+Hipotesis!$C$16-Hipotesis!$C$14)/Hipotesis!$C$8</f>
        <v>111.219611431115</v>
      </c>
    </row>
    <row r="38" customFormat="false" ht="15" hidden="false" customHeight="true" outlineLevel="0" collapsed="false">
      <c r="B38" s="87" t="s">
        <v>555</v>
      </c>
      <c r="C38" s="113" t="n">
        <v>0.5</v>
      </c>
      <c r="D38" s="113" t="n">
        <v>1.5</v>
      </c>
      <c r="E38" s="113" t="n">
        <v>2.5</v>
      </c>
      <c r="F38" s="113" t="n">
        <v>3.5</v>
      </c>
      <c r="G38" s="113" t="n">
        <v>4.5</v>
      </c>
      <c r="H38" s="114" t="s">
        <v>556</v>
      </c>
      <c r="L38" s="108" t="n">
        <v>0.0912</v>
      </c>
      <c r="M38" s="109" t="n">
        <f aca="false">((C33/(1+$L$38)^0.5 + D33/(1+$L$38)^1.5 + E33/(1+$L$38)^2.5 + F33/(1+$L$38)^3.5 + G33/(1+$L$38)^4.5)+(M$35*(G23+G28))/(1+$L$38)^5+Hipotesis!$C$15+Hipotesis!$C$16-Hipotesis!$C$14)/Hipotesis!$C$8</f>
        <v>76.9284952226234</v>
      </c>
      <c r="N38" s="109" t="n">
        <f aca="false">((C33/(1+$L$38)^0.5 + D33/(1+$L$38)^1.5 + E33/(1+$L$38)^2.5 + F33/(1+$L$38)^3.5 + G33/(1+$L$38)^4.5)+(N$35*(G23+G28))/(1+$L$38)^5+Hipotesis!$C$15+Hipotesis!$C$16-Hipotesis!$C$14)/Hipotesis!$C$8</f>
        <v>84.7659744286972</v>
      </c>
      <c r="O38" s="110" t="n">
        <f aca="false">((C33/(1+$L$38)^0.5 + D33/(1+$L$38)^1.5 + E33/(1+$L$38)^2.5 + F33/(1+$L$38)^3.5 + G33/(1+$L$38)^4.5)+(O$35*(G23+G28))/(1+$L$38)^5+Hipotesis!$C$15+Hipotesis!$C$16-Hipotesis!$C$14)/Hipotesis!$C$8</f>
        <v>92.6034536347709</v>
      </c>
      <c r="P38" s="109" t="n">
        <f aca="false">((C33/(1+$L$38)^0.5 + D33/(1+$L$38)^1.5 + E33/(1+$L$38)^2.5 + F33/(1+$L$38)^3.5 + G33/(1+$L$38)^4.5)+(P$35*(G23+G28))/(1+$L$38)^5+Hipotesis!$C$15+Hipotesis!$C$16-Hipotesis!$C$14)/Hipotesis!$C$8</f>
        <v>100.440932840845</v>
      </c>
      <c r="Q38" s="109" t="n">
        <f aca="false">((C33/(1+$L$38)^0.5 + D33/(1+$L$38)^1.5 + E33/(1+$L$38)^2.5 + F33/(1+$L$38)^3.5 + G33/(1+$L$38)^4.5)+(Q$35*(G23+G28))/(1+$L$38)^5+Hipotesis!$C$15+Hipotesis!$C$16-Hipotesis!$C$14)/Hipotesis!$C$8</f>
        <v>108.278412046918</v>
      </c>
    </row>
    <row r="39" customFormat="false" ht="15" hidden="false" customHeight="true" outlineLevel="0" collapsed="false">
      <c r="B39" s="87" t="s">
        <v>557</v>
      </c>
      <c r="C39" s="115" t="n">
        <f aca="false">1/(1+Hipotesis!$C$25)^C38</f>
        <v>0.955078293291811</v>
      </c>
      <c r="D39" s="115" t="n">
        <f aca="false">1/(1+Hipotesis!$C$25)^D38</f>
        <v>0.871198108880863</v>
      </c>
      <c r="E39" s="115" t="n">
        <f aca="false">1/(1+Hipotesis!$C$25)^E38</f>
        <v>0.794684739720804</v>
      </c>
      <c r="F39" s="115" t="n">
        <f aca="false">1/(1+Hipotesis!$C$25)^F38</f>
        <v>0.724891191920026</v>
      </c>
      <c r="G39" s="115" t="n">
        <f aca="false">1/(1+Hipotesis!$C$25)^G38</f>
        <v>0.661227294118984</v>
      </c>
      <c r="H39" s="96" t="s">
        <v>558</v>
      </c>
      <c r="L39" s="108" t="n">
        <v>0.1</v>
      </c>
      <c r="M39" s="109" t="n">
        <f aca="false">((C33/(1+$L$39)^0.5 + D33/(1+$L$39)^1.5 + E33/(1+$L$39)^2.5 + F33/(1+$L$39)^3.5 + G33/(1+$L$39)^4.5)+(M$35*(G23+G28))/(1+$L$39)^5+Hipotesis!$C$15+Hipotesis!$C$16-Hipotesis!$C$14)/Hipotesis!$C$8</f>
        <v>74.1527873904982</v>
      </c>
      <c r="N39" s="109" t="n">
        <f aca="false">((C33/(1+$L$39)^0.5 + D33/(1+$L$39)^1.5 + E33/(1+$L$39)^2.5 + F33/(1+$L$39)^3.5 + G33/(1+$L$39)^4.5)+(N$35*(G23+G28))/(1+$L$39)^5+Hipotesis!$C$15+Hipotesis!$C$16-Hipotesis!$C$14)/Hipotesis!$C$8</f>
        <v>81.681743447382</v>
      </c>
      <c r="O39" s="109" t="n">
        <f aca="false">((C33/(1+$L$39)^0.5 + D33/(1+$L$39)^1.5 + E33/(1+$L$39)^2.5 + F33/(1+$L$39)^3.5 + G33/(1+$L$39)^4.5)+(O$35*(G23+G28))/(1+$L$39)^5+Hipotesis!$C$15+Hipotesis!$C$16-Hipotesis!$C$14)/Hipotesis!$C$8</f>
        <v>89.2106995042659</v>
      </c>
      <c r="P39" s="109" t="n">
        <f aca="false">((C33/(1+$L$39)^0.5 + D33/(1+$L$39)^1.5 + E33/(1+$L$39)^2.5 + F33/(1+$L$39)^3.5 + G33/(1+$L$39)^4.5)+(P$35*(G23+G28))/(1+$L$39)^5+Hipotesis!$C$15+Hipotesis!$C$16-Hipotesis!$C$14)/Hipotesis!$C$8</f>
        <v>96.7396555611498</v>
      </c>
      <c r="Q39" s="109" t="n">
        <f aca="false">((C33/(1+$L$39)^0.5 + D33/(1+$L$39)^1.5 + E33/(1+$L$39)^2.5 + F33/(1+$L$39)^3.5 + G33/(1+$L$39)^4.5)+(Q$35*(G23+G28))/(1+$L$39)^5+Hipotesis!$C$15+Hipotesis!$C$16-Hipotesis!$C$14)/Hipotesis!$C$8</f>
        <v>104.268611618034</v>
      </c>
    </row>
    <row r="40" customFormat="false" ht="15" hidden="false" customHeight="true" outlineLevel="0" collapsed="false">
      <c r="B40" s="87" t="s">
        <v>559</v>
      </c>
      <c r="C40" s="95" t="n">
        <f aca="false">C33*C39</f>
        <v>12114.452796765</v>
      </c>
      <c r="D40" s="95" t="n">
        <f aca="false">D33*D39</f>
        <v>12588.7529091382</v>
      </c>
      <c r="E40" s="95" t="n">
        <f aca="false">E33*E39</f>
        <v>13019.3324783917</v>
      </c>
      <c r="F40" s="95" t="n">
        <f aca="false">F33*F39</f>
        <v>12945.1954925786</v>
      </c>
      <c r="G40" s="95" t="n">
        <f aca="false">G33*G39</f>
        <v>12923.2206624876</v>
      </c>
      <c r="H40" s="96" t="s">
        <v>560</v>
      </c>
      <c r="L40" s="108" t="n">
        <v>0.11</v>
      </c>
      <c r="M40" s="109" t="n">
        <f aca="false">((C33/(1+$L$40)^0.5 + D33/(1+$L$40)^1.5 + E33/(1+$L$40)^2.5 + F33/(1+$L$40)^3.5 + G33/(1+$L$40)^4.5)+(M$35*(G23+G28))/(1+$L$40)^5+Hipotesis!$C$15+Hipotesis!$C$16-Hipotesis!$C$14)/Hipotesis!$C$8</f>
        <v>71.1512574426798</v>
      </c>
      <c r="N40" s="109" t="n">
        <f aca="false">((C33/(1+$L$40)^0.5 + D33/(1+$L$40)^1.5 + E33/(1+$L$40)^2.5 + F33/(1+$L$40)^3.5 + G33/(1+$L$40)^4.5)+(N$35*(G23+G28))/(1+$L$40)^5+Hipotesis!$C$15+Hipotesis!$C$16-Hipotesis!$C$14)/Hipotesis!$C$8</f>
        <v>78.3471272009271</v>
      </c>
      <c r="O40" s="109" t="n">
        <f aca="false">((C33/(1+$L$40)^0.5 + D33/(1+$L$40)^1.5 + E33/(1+$L$40)^2.5 + F33/(1+$L$40)^3.5 + G33/(1+$L$40)^4.5)+(O$35*(G23+G28))/(1+$L$40)^5+Hipotesis!$C$15+Hipotesis!$C$16-Hipotesis!$C$14)/Hipotesis!$C$8</f>
        <v>85.5429969591744</v>
      </c>
      <c r="P40" s="109" t="n">
        <f aca="false">((C33/(1+$L$40)^0.5 + D33/(1+$L$40)^1.5 + E33/(1+$L$40)^2.5 + F33/(1+$L$40)^3.5 + G33/(1+$L$40)^4.5)+(P$35*(G23+G28))/(1+$L$40)^5+Hipotesis!$C$15+Hipotesis!$C$16-Hipotesis!$C$14)/Hipotesis!$C$8</f>
        <v>92.7388667174217</v>
      </c>
      <c r="Q40" s="109" t="n">
        <f aca="false">((C33/(1+$L$40)^0.5 + D33/(1+$L$40)^1.5 + E33/(1+$L$40)^2.5 + F33/(1+$L$40)^3.5 + G33/(1+$L$40)^4.5)+(Q$35*(G23+G28))/(1+$L$40)^5+Hipotesis!$C$15+Hipotesis!$C$16-Hipotesis!$C$14)/Hipotesis!$C$8</f>
        <v>99.9347364756689</v>
      </c>
    </row>
    <row r="41" customFormat="false" ht="15" hidden="false" customHeight="true" outlineLevel="0" collapsed="false">
      <c r="B41" s="81" t="s">
        <v>561</v>
      </c>
      <c r="C41" s="111" t="n">
        <f aca="false">SUM(C40:G40)</f>
        <v>63590.9543393611</v>
      </c>
    </row>
    <row r="43" customFormat="false" ht="15" hidden="false" customHeight="true" outlineLevel="0" collapsed="false">
      <c r="B43" s="86" t="s">
        <v>562</v>
      </c>
      <c r="C43" s="86"/>
      <c r="D43" s="86"/>
      <c r="E43" s="86"/>
      <c r="F43" s="86"/>
      <c r="G43" s="86"/>
      <c r="H43" s="86"/>
    </row>
    <row r="44" customFormat="false" ht="15" hidden="false" customHeight="true" outlineLevel="0" collapsed="false">
      <c r="B44" s="87" t="s">
        <v>563</v>
      </c>
      <c r="C44" s="95" t="n">
        <f aca="false">G33*(1+Hipotesis!$C$47)/(Hipotesis!$C$25-Hipotesis!$C$47)</f>
        <v>303714.452181586</v>
      </c>
      <c r="D44" s="89" t="s">
        <v>564</v>
      </c>
      <c r="G44" s="95" t="n">
        <f aca="false">C44*G39</f>
        <v>200824.285400859</v>
      </c>
      <c r="H44" s="89" t="s">
        <v>565</v>
      </c>
    </row>
    <row r="45" customFormat="false" ht="15" hidden="false" customHeight="true" outlineLevel="0" collapsed="false">
      <c r="B45" s="87" t="s">
        <v>566</v>
      </c>
      <c r="C45" s="95" t="n">
        <f aca="false">Hipotesis!$C$50*(G23+G28)</f>
        <v>459739.203803712</v>
      </c>
      <c r="D45" s="114" t="s">
        <v>567</v>
      </c>
      <c r="G45" s="95" t="n">
        <f aca="false">C45*G39</f>
        <v>303992.109731545</v>
      </c>
    </row>
    <row r="46" customFormat="false" ht="15" hidden="false" customHeight="true" outlineLevel="0" collapsed="false">
      <c r="B46" s="87" t="s">
        <v>568</v>
      </c>
      <c r="C46" s="95" t="n">
        <f aca="false">Hipotesis!$C$51*G23</f>
        <v>549291.65956896</v>
      </c>
      <c r="D46" s="114" t="s">
        <v>567</v>
      </c>
      <c r="G46" s="95" t="n">
        <f aca="false">C46*G39</f>
        <v>363206.637738909</v>
      </c>
    </row>
    <row r="47" customFormat="false" ht="15" hidden="false" customHeight="true" outlineLevel="0" collapsed="false">
      <c r="B47" s="87" t="s">
        <v>569</v>
      </c>
      <c r="C47" s="95" t="n">
        <f aca="false">(G33*(1+Hipotesis!$C$47)+G33*Hipotesis!$C$48*(G14-Hipotesis!$C$47))/(Hipotesis!$C$25-Hipotesis!$C$47)</f>
        <v>352165.084556567</v>
      </c>
      <c r="D47" s="114" t="s">
        <v>570</v>
      </c>
      <c r="G47" s="95" t="n">
        <f aca="false">C47*G39</f>
        <v>232861.165944522</v>
      </c>
    </row>
    <row r="48" customFormat="false" ht="15" hidden="false" customHeight="true" outlineLevel="0" collapsed="false">
      <c r="B48" s="87" t="s">
        <v>571</v>
      </c>
      <c r="C48" s="95" t="n">
        <f aca="false">Hipotesis!$C$52*G13</f>
        <v>394119.117084</v>
      </c>
      <c r="D48" s="114" t="s">
        <v>572</v>
      </c>
      <c r="G48" s="95" t="n">
        <f aca="false">C48*G39</f>
        <v>260602.317350016</v>
      </c>
    </row>
    <row r="50" customFormat="false" ht="15" hidden="false" customHeight="true" outlineLevel="0" collapsed="false">
      <c r="B50" s="86" t="s">
        <v>573</v>
      </c>
      <c r="C50" s="86"/>
      <c r="D50" s="86"/>
      <c r="E50" s="86"/>
      <c r="F50" s="86"/>
      <c r="G50" s="86"/>
      <c r="H50" s="86"/>
      <c r="I50" s="86"/>
      <c r="J50" s="86"/>
    </row>
    <row r="51" customFormat="false" ht="15" hidden="false" customHeight="true" outlineLevel="0" collapsed="false">
      <c r="B51" s="85" t="s">
        <v>574</v>
      </c>
      <c r="C51" s="85" t="s">
        <v>575</v>
      </c>
      <c r="D51" s="85" t="s">
        <v>576</v>
      </c>
      <c r="E51" s="85" t="s">
        <v>577</v>
      </c>
      <c r="F51" s="85" t="s">
        <v>578</v>
      </c>
      <c r="G51" s="85" t="s">
        <v>579</v>
      </c>
      <c r="H51" s="85" t="s">
        <v>580</v>
      </c>
      <c r="I51" s="85" t="s">
        <v>581</v>
      </c>
    </row>
    <row r="52" customFormat="false" ht="15" hidden="false" customHeight="true" outlineLevel="0" collapsed="false">
      <c r="B52" s="87" t="s">
        <v>225</v>
      </c>
      <c r="C52" s="95" t="n">
        <f aca="false">C41+G44</f>
        <v>264415.239740221</v>
      </c>
      <c r="D52" s="95" t="n">
        <f aca="false">Hipotesis!$C$15</f>
        <v>9062</v>
      </c>
      <c r="E52" s="98" t="n">
        <f aca="false">-Hipotesis!$C$14</f>
        <v>-13464</v>
      </c>
      <c r="F52" s="95" t="n">
        <f aca="false">Hipotesis!$C$16</f>
        <v>0</v>
      </c>
      <c r="G52" s="111" t="n">
        <f aca="false">C52+D52+E52+F52</f>
        <v>260013.23974022</v>
      </c>
      <c r="H52" s="116" t="n">
        <f aca="false">Hipotesis!$C$8</f>
        <v>4212.8</v>
      </c>
      <c r="I52" s="117" t="n">
        <f aca="false">G52/H52</f>
        <v>61.719815737804</v>
      </c>
      <c r="J52" s="117" t="n">
        <f aca="false">I52</f>
        <v>61.719815737804</v>
      </c>
    </row>
    <row r="53" customFormat="false" ht="15" hidden="false" customHeight="true" outlineLevel="0" collapsed="false">
      <c r="B53" s="87" t="s">
        <v>226</v>
      </c>
      <c r="C53" s="95" t="n">
        <f aca="false">G47</f>
        <v>232861.165944522</v>
      </c>
      <c r="D53" s="95" t="n">
        <f aca="false">Hipotesis!$C$15</f>
        <v>9062</v>
      </c>
      <c r="E53" s="98" t="n">
        <f aca="false">-Hipotesis!$C$14</f>
        <v>-13464</v>
      </c>
      <c r="F53" s="95" t="n">
        <f aca="false">Hipotesis!$C$16</f>
        <v>0</v>
      </c>
      <c r="G53" s="111" t="n">
        <f aca="false">C53+D53+E53+F53</f>
        <v>228459.165944522</v>
      </c>
      <c r="H53" s="116" t="n">
        <f aca="false">Hipotesis!$C$8</f>
        <v>4212.8</v>
      </c>
      <c r="I53" s="117" t="n">
        <f aca="false">G53/H53</f>
        <v>54.2297678371919</v>
      </c>
      <c r="J53" s="117" t="n">
        <f aca="false">I53</f>
        <v>54.2297678371919</v>
      </c>
    </row>
    <row r="54" customFormat="false" ht="15" hidden="false" customHeight="true" outlineLevel="0" collapsed="false">
      <c r="B54" s="87" t="s">
        <v>227</v>
      </c>
      <c r="C54" s="95" t="n">
        <f aca="false">C41+G45</f>
        <v>367583.064070906</v>
      </c>
      <c r="D54" s="95" t="n">
        <f aca="false">Hipotesis!$C$15</f>
        <v>9062</v>
      </c>
      <c r="E54" s="98" t="n">
        <f aca="false">-Hipotesis!$C$14</f>
        <v>-13464</v>
      </c>
      <c r="F54" s="95" t="n">
        <f aca="false">Hipotesis!$C$16</f>
        <v>0</v>
      </c>
      <c r="G54" s="111" t="n">
        <f aca="false">C54+D54+E54+F54</f>
        <v>363181.064070906</v>
      </c>
      <c r="H54" s="116" t="n">
        <f aca="false">Hipotesis!$C$8</f>
        <v>4212.8</v>
      </c>
      <c r="I54" s="117" t="n">
        <f aca="false">G54/H54</f>
        <v>86.2089498839028</v>
      </c>
      <c r="J54" s="117" t="n">
        <f aca="false">I54</f>
        <v>86.2089498839028</v>
      </c>
    </row>
    <row r="55" customFormat="false" ht="15" hidden="false" customHeight="true" outlineLevel="0" collapsed="false">
      <c r="B55" s="87" t="s">
        <v>228</v>
      </c>
      <c r="C55" s="95" t="n">
        <f aca="false">C41+G46</f>
        <v>426797.59207827</v>
      </c>
      <c r="D55" s="95" t="n">
        <f aca="false">Hipotesis!$C$15</f>
        <v>9062</v>
      </c>
      <c r="E55" s="98" t="n">
        <f aca="false">-Hipotesis!$C$14</f>
        <v>-13464</v>
      </c>
      <c r="F55" s="95" t="n">
        <f aca="false">Hipotesis!$C$16</f>
        <v>0</v>
      </c>
      <c r="G55" s="111" t="n">
        <f aca="false">C55+D55+E55+F55</f>
        <v>422395.59207827</v>
      </c>
      <c r="H55" s="116" t="n">
        <f aca="false">Hipotesis!$C$8</f>
        <v>4212.8</v>
      </c>
      <c r="I55" s="117" t="n">
        <f aca="false">G55/H55</f>
        <v>100.264810121124</v>
      </c>
      <c r="J55" s="117" t="n">
        <f aca="false">I55</f>
        <v>100.264810121124</v>
      </c>
    </row>
    <row r="56" customFormat="false" ht="15" hidden="false" customHeight="true" outlineLevel="0" collapsed="false">
      <c r="B56" s="87" t="s">
        <v>229</v>
      </c>
      <c r="C56" s="95" t="n">
        <f aca="false">C41+G48</f>
        <v>324193.271689377</v>
      </c>
      <c r="D56" s="95" t="n">
        <f aca="false">Hipotesis!$C$15</f>
        <v>9062</v>
      </c>
      <c r="E56" s="98" t="n">
        <f aca="false">-Hipotesis!$C$14</f>
        <v>-13464</v>
      </c>
      <c r="F56" s="95" t="n">
        <f aca="false">Hipotesis!$C$16</f>
        <v>0</v>
      </c>
      <c r="G56" s="111" t="n">
        <f aca="false">C56+D56+E56+F56</f>
        <v>319791.271689377</v>
      </c>
      <c r="H56" s="116" t="n">
        <f aca="false">Hipotesis!$C$8</f>
        <v>4212.8</v>
      </c>
      <c r="I56" s="117" t="n">
        <f aca="false">G56/H56</f>
        <v>75.9094359308245</v>
      </c>
      <c r="J56" s="117" t="n">
        <f aca="false">I56</f>
        <v>75.9094359308245</v>
      </c>
    </row>
    <row r="57" customFormat="false" ht="15" hidden="false" customHeight="true" outlineLevel="0" collapsed="false">
      <c r="B57" s="87" t="s">
        <v>230</v>
      </c>
      <c r="C57" s="114" t="s">
        <v>558</v>
      </c>
      <c r="D57" s="114" t="s">
        <v>558</v>
      </c>
      <c r="E57" s="114" t="s">
        <v>558</v>
      </c>
      <c r="F57" s="114" t="s">
        <v>558</v>
      </c>
      <c r="G57" s="95" t="n">
        <f aca="false">Hipotesis!$C$53*D27</f>
        <v>364086.84</v>
      </c>
      <c r="H57" s="116" t="n">
        <f aca="false">Hipotesis!$C$8</f>
        <v>4212.8</v>
      </c>
      <c r="I57" s="117" t="n">
        <f aca="false">G57/H57</f>
        <v>86.4239555639955</v>
      </c>
      <c r="J57" s="117" t="n">
        <f aca="false">I57</f>
        <v>86.4239555639955</v>
      </c>
    </row>
    <row r="58" customFormat="false" ht="15" hidden="false" customHeight="true" outlineLevel="0" collapsed="false">
      <c r="B58" s="87" t="s">
        <v>231</v>
      </c>
      <c r="C58" s="95" t="n">
        <f aca="false">Hipotesis!$C$50*(D23+D28)</f>
        <v>335853.1944</v>
      </c>
      <c r="D58" s="95" t="n">
        <f aca="false">Hipotesis!$C$15</f>
        <v>9062</v>
      </c>
      <c r="E58" s="98" t="n">
        <f aca="false">-Hipotesis!$C$14</f>
        <v>-13464</v>
      </c>
      <c r="F58" s="95" t="n">
        <f aca="false">Hipotesis!$C$16</f>
        <v>0</v>
      </c>
      <c r="G58" s="111" t="n">
        <f aca="false">C58+D58+E58+F58</f>
        <v>331451.1944</v>
      </c>
      <c r="H58" s="116" t="n">
        <f aca="false">Hipotesis!$C$8</f>
        <v>4212.8</v>
      </c>
      <c r="I58" s="117" t="n">
        <f aca="false">G58/H58</f>
        <v>78.6771729965819</v>
      </c>
      <c r="J58" s="117" t="n">
        <f aca="false">I58</f>
        <v>78.6771729965819</v>
      </c>
    </row>
    <row r="59" customFormat="false" ht="15" hidden="false" customHeight="true" outlineLevel="0" collapsed="false">
      <c r="B59" s="87" t="s">
        <v>232</v>
      </c>
      <c r="C59" s="95" t="n">
        <f aca="false">Hipotesis!$C$52*D13</f>
        <v>312241.05</v>
      </c>
      <c r="D59" s="95" t="n">
        <f aca="false">Hipotesis!$C$15</f>
        <v>9062</v>
      </c>
      <c r="E59" s="98" t="n">
        <f aca="false">-Hipotesis!$C$14</f>
        <v>-13464</v>
      </c>
      <c r="F59" s="95" t="n">
        <f aca="false">Hipotesis!$C$16</f>
        <v>0</v>
      </c>
      <c r="G59" s="111" t="n">
        <f aca="false">C59+D59+E59+F59</f>
        <v>307839.05</v>
      </c>
      <c r="H59" s="116" t="n">
        <f aca="false">Hipotesis!$C$8</f>
        <v>4212.8</v>
      </c>
      <c r="I59" s="117" t="n">
        <f aca="false">G59/H59</f>
        <v>73.0723153247247</v>
      </c>
      <c r="J59" s="117" t="n">
        <f aca="false">I59</f>
        <v>73.0723153247247</v>
      </c>
    </row>
    <row r="61" customFormat="false" ht="15" hidden="false" customHeight="true" outlineLevel="0" collapsed="false">
      <c r="B61" s="86" t="s">
        <v>582</v>
      </c>
      <c r="C61" s="86"/>
      <c r="D61" s="86"/>
      <c r="E61" s="86"/>
      <c r="F61" s="86"/>
      <c r="G61" s="86"/>
      <c r="H61" s="86"/>
      <c r="I61" s="86"/>
      <c r="J61" s="86"/>
    </row>
    <row r="62" customFormat="false" ht="15" hidden="false" customHeight="true" outlineLevel="0" collapsed="false">
      <c r="B62" s="81" t="s">
        <v>583</v>
      </c>
      <c r="J62" s="118" t="n">
        <f aca="false">AVERAGE(J52:J59)</f>
        <v>77.0632779245186</v>
      </c>
    </row>
    <row r="63" customFormat="false" ht="15" hidden="false" customHeight="true" outlineLevel="0" collapsed="false">
      <c r="B63" s="81" t="s">
        <v>584</v>
      </c>
      <c r="J63" s="119" t="n">
        <f aca="false">MEDIAN(J52:J59)</f>
        <v>77.2933044637032</v>
      </c>
    </row>
    <row r="64" customFormat="false" ht="15" hidden="false" customHeight="true" outlineLevel="0" collapsed="false">
      <c r="B64" s="81" t="s">
        <v>585</v>
      </c>
      <c r="J64" s="118" t="n">
        <f aca="false">MIN(J52:J59)</f>
        <v>54.2297678371919</v>
      </c>
    </row>
    <row r="65" customFormat="false" ht="15" hidden="false" customHeight="true" outlineLevel="0" collapsed="false">
      <c r="B65" s="81" t="s">
        <v>586</v>
      </c>
      <c r="J65" s="118" t="n">
        <f aca="false">MAX(J52:J59)</f>
        <v>100.264810121124</v>
      </c>
    </row>
    <row r="66" customFormat="false" ht="15" hidden="false" customHeight="true" outlineLevel="0" collapsed="false">
      <c r="B66" s="81" t="s">
        <v>587</v>
      </c>
      <c r="J66" s="118" t="n">
        <f aca="false">Hipotesis!$C$6</f>
        <v>87.02</v>
      </c>
    </row>
    <row r="67" customFormat="false" ht="15" hidden="false" customHeight="true" outlineLevel="0" collapsed="false">
      <c r="B67" s="81" t="s">
        <v>588</v>
      </c>
      <c r="J67" s="120" t="n">
        <f aca="false">J63/J66-1</f>
        <v>-0.111775402623499</v>
      </c>
    </row>
  </sheetData>
  <mergeCells count="12">
    <mergeCell ref="B1:H1"/>
    <mergeCell ref="L5:R5"/>
    <mergeCell ref="B6:H6"/>
    <mergeCell ref="L15:R15"/>
    <mergeCell ref="B16:H16"/>
    <mergeCell ref="L24:R24"/>
    <mergeCell ref="B26:H26"/>
    <mergeCell ref="L33:R33"/>
    <mergeCell ref="B37:H37"/>
    <mergeCell ref="B43:H43"/>
    <mergeCell ref="B50:J50"/>
    <mergeCell ref="B61:J6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8"/>
    <col collapsed="false" customWidth="true" hidden="false" outlineLevel="0" max="8" min="3" style="1" width="13"/>
    <col collapsed="false" customWidth="true" hidden="false" outlineLevel="0" max="9" min="9" style="1" width="60"/>
  </cols>
  <sheetData>
    <row r="2" customFormat="false" ht="24" hidden="false" customHeight="true" outlineLevel="0" collapsed="false">
      <c r="B2" s="80" t="s">
        <v>589</v>
      </c>
      <c r="C2" s="80"/>
      <c r="D2" s="80"/>
      <c r="E2" s="80"/>
      <c r="F2" s="80"/>
      <c r="G2" s="80"/>
      <c r="H2" s="80"/>
      <c r="I2" s="80"/>
    </row>
    <row r="3" customFormat="false" ht="15" hidden="false" customHeight="true" outlineLevel="0" collapsed="false">
      <c r="B3" s="100" t="s">
        <v>590</v>
      </c>
      <c r="C3" s="100"/>
      <c r="D3" s="100"/>
      <c r="E3" s="100"/>
      <c r="F3" s="100"/>
      <c r="G3" s="100"/>
      <c r="H3" s="100"/>
      <c r="I3" s="100"/>
    </row>
    <row r="5" customFormat="false" ht="15" hidden="false" customHeight="true" outlineLevel="0" collapsed="false">
      <c r="B5" s="86" t="s">
        <v>591</v>
      </c>
      <c r="C5" s="86"/>
      <c r="D5" s="86"/>
      <c r="E5" s="86"/>
      <c r="F5" s="86"/>
      <c r="G5" s="86"/>
      <c r="H5" s="86"/>
      <c r="I5" s="86"/>
    </row>
    <row r="6" customFormat="false" ht="15" hidden="false" customHeight="true" outlineLevel="0" collapsed="false">
      <c r="C6" s="85" t="s">
        <v>349</v>
      </c>
      <c r="D6" s="85" t="s">
        <v>350</v>
      </c>
      <c r="E6" s="85" t="s">
        <v>351</v>
      </c>
      <c r="F6" s="85" t="s">
        <v>352</v>
      </c>
      <c r="G6" s="85" t="s">
        <v>353</v>
      </c>
      <c r="H6" s="85" t="s">
        <v>354</v>
      </c>
    </row>
    <row r="7" customFormat="false" ht="15" hidden="false" customHeight="true" outlineLevel="0" collapsed="false">
      <c r="B7" s="87" t="s">
        <v>200</v>
      </c>
      <c r="C7" s="88" t="n">
        <v>29698</v>
      </c>
      <c r="D7" s="88" t="n">
        <v>31616</v>
      </c>
      <c r="E7" s="88" t="n">
        <v>33723</v>
      </c>
      <c r="F7" s="88" t="n">
        <v>39001</v>
      </c>
      <c r="G7" s="88" t="n">
        <v>45183</v>
      </c>
      <c r="H7" s="88" t="n">
        <v>12250</v>
      </c>
      <c r="I7" s="89" t="s">
        <v>592</v>
      </c>
    </row>
    <row r="8" customFormat="false" ht="15" hidden="false" customHeight="true" outlineLevel="0" collapsed="false">
      <c r="B8" s="87" t="s">
        <v>593</v>
      </c>
      <c r="C8" s="88" t="n">
        <v>6195</v>
      </c>
      <c r="D8" s="88" t="n">
        <v>5633</v>
      </c>
      <c r="E8" s="88" t="n">
        <v>6954</v>
      </c>
      <c r="F8" s="88" t="n">
        <v>10418</v>
      </c>
      <c r="G8" s="88" t="n">
        <v>13327</v>
      </c>
      <c r="H8" s="88" t="n">
        <v>3957</v>
      </c>
    </row>
    <row r="9" customFormat="false" ht="15" hidden="false" customHeight="true" outlineLevel="0" collapsed="false">
      <c r="B9" s="87" t="s">
        <v>594</v>
      </c>
      <c r="C9" s="88" t="n">
        <v>5116</v>
      </c>
      <c r="D9" s="88" t="n">
        <v>4492</v>
      </c>
      <c r="E9" s="88" t="n">
        <v>5408</v>
      </c>
      <c r="F9" s="88" t="n">
        <v>8712</v>
      </c>
      <c r="G9" s="88" t="n">
        <v>10981</v>
      </c>
      <c r="H9" s="88" t="n">
        <v>5283</v>
      </c>
    </row>
    <row r="10" customFormat="false" ht="15" hidden="false" customHeight="true" outlineLevel="0" collapsed="false">
      <c r="B10" s="87" t="s">
        <v>595</v>
      </c>
      <c r="C10" s="88" t="n">
        <v>44585</v>
      </c>
      <c r="D10" s="88" t="n">
        <v>48595</v>
      </c>
      <c r="E10" s="88" t="n">
        <v>48732</v>
      </c>
      <c r="F10" s="88" t="n">
        <v>53630</v>
      </c>
      <c r="G10" s="88" t="n">
        <v>55597</v>
      </c>
      <c r="H10" s="88" t="n">
        <v>60000</v>
      </c>
      <c r="I10" s="89" t="s">
        <v>596</v>
      </c>
    </row>
    <row r="11" customFormat="false" ht="15" hidden="false" customHeight="true" outlineLevel="0" collapsed="false">
      <c r="B11" s="87" t="s">
        <v>597</v>
      </c>
      <c r="C11" s="88" t="n">
        <v>15849</v>
      </c>
      <c r="D11" s="88" t="n">
        <v>20777</v>
      </c>
      <c r="E11" s="88" t="n">
        <v>20588</v>
      </c>
      <c r="F11" s="88" t="n">
        <v>24744</v>
      </c>
      <c r="G11" s="88" t="n">
        <v>26615</v>
      </c>
      <c r="H11" s="88" t="n">
        <v>30700</v>
      </c>
    </row>
    <row r="12" customFormat="false" ht="15" hidden="false" customHeight="true" outlineLevel="0" collapsed="false">
      <c r="B12" s="87" t="s">
        <v>598</v>
      </c>
      <c r="C12" s="88" t="n">
        <v>14693</v>
      </c>
      <c r="D12" s="88" t="n">
        <v>14353</v>
      </c>
      <c r="E12" s="88" t="n">
        <v>14143</v>
      </c>
      <c r="F12" s="88" t="n">
        <v>13798</v>
      </c>
      <c r="G12" s="88" t="n">
        <v>13464</v>
      </c>
      <c r="H12" s="88" t="n">
        <v>13400</v>
      </c>
    </row>
    <row r="13" customFormat="false" ht="15" hidden="false" customHeight="true" outlineLevel="0" collapsed="false">
      <c r="B13" s="87" t="s">
        <v>599</v>
      </c>
      <c r="C13" s="88" t="n">
        <v>6028</v>
      </c>
      <c r="D13" s="88" t="n">
        <v>6058</v>
      </c>
      <c r="E13" s="88" t="n">
        <v>7138</v>
      </c>
      <c r="F13" s="88" t="n">
        <v>9584</v>
      </c>
      <c r="G13" s="88" t="n">
        <v>9062</v>
      </c>
      <c r="H13" s="88" t="n">
        <v>12267</v>
      </c>
    </row>
    <row r="14" customFormat="false" ht="15" hidden="false" customHeight="true" outlineLevel="0" collapsed="false">
      <c r="B14" s="87" t="s">
        <v>600</v>
      </c>
      <c r="C14" s="88" t="n">
        <v>393</v>
      </c>
      <c r="D14" s="88" t="n">
        <v>2026</v>
      </c>
      <c r="E14" s="88" t="n">
        <v>7274</v>
      </c>
      <c r="F14" s="88" t="n">
        <v>7361</v>
      </c>
      <c r="G14" s="88" t="n">
        <v>10149</v>
      </c>
      <c r="H14" s="88" t="n">
        <v>5290</v>
      </c>
      <c r="I14" s="89" t="s">
        <v>601</v>
      </c>
    </row>
    <row r="15" customFormat="false" ht="15" hidden="false" customHeight="true" outlineLevel="0" collapsed="false">
      <c r="B15" s="87" t="s">
        <v>602</v>
      </c>
      <c r="C15" s="88" t="n">
        <v>525</v>
      </c>
      <c r="D15" s="88" t="n">
        <v>408</v>
      </c>
      <c r="E15" s="88" t="n">
        <v>349</v>
      </c>
      <c r="F15" s="88" t="n">
        <v>440</v>
      </c>
      <c r="G15" s="88" t="n">
        <v>688</v>
      </c>
      <c r="H15" s="88" t="n">
        <v>196</v>
      </c>
    </row>
    <row r="16" customFormat="false" ht="15" hidden="false" customHeight="true" outlineLevel="0" collapsed="false">
      <c r="B16" s="87" t="s">
        <v>603</v>
      </c>
      <c r="C16" s="88" t="n">
        <v>-132</v>
      </c>
      <c r="D16" s="88" t="n">
        <v>1619</v>
      </c>
      <c r="E16" s="88" t="n">
        <v>6925</v>
      </c>
      <c r="F16" s="88" t="n">
        <v>6921</v>
      </c>
      <c r="G16" s="88" t="n">
        <v>9461</v>
      </c>
      <c r="H16" s="88" t="n">
        <v>5094</v>
      </c>
    </row>
    <row r="17" customFormat="false" ht="15" hidden="false" customHeight="true" outlineLevel="0" collapsed="false">
      <c r="B17" s="87" t="s">
        <v>604</v>
      </c>
      <c r="C17" s="88" t="n">
        <v>208</v>
      </c>
      <c r="D17" s="88" t="n">
        <v>336</v>
      </c>
      <c r="E17" s="88" t="n">
        <v>297</v>
      </c>
      <c r="F17" s="88" t="n">
        <v>320</v>
      </c>
      <c r="G17" s="88" t="n">
        <v>350</v>
      </c>
      <c r="H17" s="88" t="n">
        <v>99</v>
      </c>
    </row>
    <row r="18" customFormat="false" ht="15" hidden="false" customHeight="true" outlineLevel="0" collapsed="false">
      <c r="B18" s="87" t="s">
        <v>605</v>
      </c>
      <c r="C18" s="121" t="n">
        <v>0.226</v>
      </c>
      <c r="D18" s="121" t="n">
        <v>0.149</v>
      </c>
      <c r="E18" s="121" t="n">
        <v>0.229</v>
      </c>
      <c r="F18" s="121" t="n">
        <v>0.228</v>
      </c>
      <c r="G18" s="121" t="n">
        <v>0.209</v>
      </c>
      <c r="H18" s="121" t="n">
        <v>0.193</v>
      </c>
      <c r="I18" s="89" t="s">
        <v>606</v>
      </c>
    </row>
    <row r="20" customFormat="false" ht="15" hidden="false" customHeight="true" outlineLevel="0" collapsed="false">
      <c r="B20" s="86" t="s">
        <v>607</v>
      </c>
      <c r="C20" s="86"/>
      <c r="D20" s="86"/>
      <c r="E20" s="86"/>
      <c r="F20" s="86"/>
      <c r="G20" s="86"/>
      <c r="H20" s="86"/>
      <c r="I20" s="86"/>
    </row>
    <row r="21" customFormat="false" ht="15" hidden="false" customHeight="true" outlineLevel="0" collapsed="false">
      <c r="C21" s="85" t="s">
        <v>349</v>
      </c>
      <c r="D21" s="85" t="s">
        <v>350</v>
      </c>
      <c r="E21" s="85" t="s">
        <v>351</v>
      </c>
      <c r="F21" s="85" t="s">
        <v>352</v>
      </c>
      <c r="G21" s="85" t="s">
        <v>353</v>
      </c>
      <c r="H21" s="85" t="s">
        <v>608</v>
      </c>
    </row>
    <row r="22" customFormat="false" ht="15" hidden="false" customHeight="true" outlineLevel="0" collapsed="false">
      <c r="B22" s="81" t="s">
        <v>609</v>
      </c>
      <c r="C22" s="122" t="n">
        <f aca="false">1-C18</f>
        <v>0.774</v>
      </c>
      <c r="D22" s="122" t="n">
        <f aca="false">1-D18</f>
        <v>0.851</v>
      </c>
      <c r="E22" s="122" t="n">
        <f aca="false">1-E18</f>
        <v>0.771</v>
      </c>
      <c r="F22" s="122" t="n">
        <f aca="false">1-F18</f>
        <v>0.772</v>
      </c>
      <c r="G22" s="122" t="n">
        <f aca="false">1-G18</f>
        <v>0.791</v>
      </c>
      <c r="H22" s="122" t="n">
        <f aca="false">1-H18</f>
        <v>0.807</v>
      </c>
      <c r="I22" s="89" t="s">
        <v>610</v>
      </c>
    </row>
    <row r="23" customFormat="false" ht="15" hidden="false" customHeight="true" outlineLevel="0" collapsed="false">
      <c r="B23" s="81" t="s">
        <v>611</v>
      </c>
      <c r="C23" s="122" t="n">
        <f aca="false">(C9/(1-C18))/C8</f>
        <v>1.06696031016094</v>
      </c>
      <c r="D23" s="122" t="n">
        <f aca="false">(D9/(1-D18))/D8</f>
        <v>0.937066551960153</v>
      </c>
      <c r="E23" s="122" t="n">
        <f aca="false">(E9/(1-E18))/E8</f>
        <v>1.00866654953601</v>
      </c>
      <c r="F23" s="122" t="n">
        <f aca="false">(F9/(1-F18))/F8</f>
        <v>1.08321886093917</v>
      </c>
      <c r="G23" s="122" t="n">
        <f aca="false">(G9/(1-G18))/G8</f>
        <v>1.04167684454161</v>
      </c>
      <c r="H23" s="122" t="n">
        <f aca="false">(H9/(1-H18))/H8</f>
        <v>1.65440192102274</v>
      </c>
      <c r="I23" s="89" t="s">
        <v>612</v>
      </c>
    </row>
    <row r="24" customFormat="false" ht="15" hidden="false" customHeight="true" outlineLevel="0" collapsed="false">
      <c r="B24" s="81" t="s">
        <v>613</v>
      </c>
      <c r="C24" s="122" t="n">
        <f aca="false">C8/C7</f>
        <v>0.208599905717557</v>
      </c>
      <c r="D24" s="122" t="n">
        <f aca="false">D8/D7</f>
        <v>0.178169281376518</v>
      </c>
      <c r="E24" s="122" t="n">
        <f aca="false">E8/E7</f>
        <v>0.206209411974024</v>
      </c>
      <c r="F24" s="122" t="n">
        <f aca="false">F8/F7</f>
        <v>0.26712135586267</v>
      </c>
      <c r="G24" s="122" t="n">
        <f aca="false">G8/G7</f>
        <v>0.294956067547529</v>
      </c>
      <c r="H24" s="122" t="n">
        <f aca="false">H8/H7</f>
        <v>0.323020408163265</v>
      </c>
      <c r="I24" s="89" t="s">
        <v>614</v>
      </c>
    </row>
    <row r="25" customFormat="false" ht="15" hidden="false" customHeight="true" outlineLevel="0" collapsed="false">
      <c r="B25" s="81" t="s">
        <v>615</v>
      </c>
      <c r="C25" s="123" t="n">
        <f aca="false">C7/C10</f>
        <v>0.666098463608837</v>
      </c>
      <c r="D25" s="123" t="n">
        <f aca="false">D7/D10</f>
        <v>0.650601913777138</v>
      </c>
      <c r="E25" s="123" t="n">
        <f aca="false">E7/E10</f>
        <v>0.692009357301157</v>
      </c>
      <c r="F25" s="123" t="n">
        <f aca="false">F7/F10</f>
        <v>0.727223568898005</v>
      </c>
      <c r="G25" s="123" t="n">
        <f aca="false">G7/G10</f>
        <v>0.812687734949728</v>
      </c>
      <c r="H25" s="123" t="n">
        <f aca="false">H7/H10</f>
        <v>0.204166666666667</v>
      </c>
      <c r="I25" s="89" t="s">
        <v>616</v>
      </c>
    </row>
    <row r="26" customFormat="false" ht="15" hidden="false" customHeight="true" outlineLevel="0" collapsed="false">
      <c r="B26" s="81" t="s">
        <v>617</v>
      </c>
      <c r="C26" s="123" t="n">
        <f aca="false">C10/C11</f>
        <v>2.81311123730204</v>
      </c>
      <c r="D26" s="123" t="n">
        <f aca="false">D10/D11</f>
        <v>2.33888434326419</v>
      </c>
      <c r="E26" s="123" t="n">
        <f aca="false">E10/E11</f>
        <v>2.36700990868467</v>
      </c>
      <c r="F26" s="123" t="n">
        <f aca="false">F10/F11</f>
        <v>2.16739411574523</v>
      </c>
      <c r="G26" s="123" t="n">
        <f aca="false">G10/G11</f>
        <v>2.08893481119669</v>
      </c>
      <c r="H26" s="123" t="n">
        <f aca="false">H10/H11</f>
        <v>1.95439739413681</v>
      </c>
      <c r="I26" s="89" t="s">
        <v>618</v>
      </c>
    </row>
    <row r="28" customFormat="false" ht="15" hidden="false" customHeight="true" outlineLevel="0" collapsed="false">
      <c r="B28" s="124" t="s">
        <v>619</v>
      </c>
      <c r="C28" s="125" t="n">
        <f aca="false">C22*C23*C24*C25*C26</f>
        <v>0.322796390939492</v>
      </c>
      <c r="D28" s="125" t="n">
        <f aca="false">D22*D23*D24*D25*D26</f>
        <v>0.216200606439813</v>
      </c>
      <c r="E28" s="125" t="n">
        <f aca="false">E22*E23*E24*E25*E26</f>
        <v>0.262677287740431</v>
      </c>
      <c r="F28" s="125" t="n">
        <f aca="false">F22*F23*F24*F25*F26</f>
        <v>0.352085354025218</v>
      </c>
      <c r="G28" s="125" t="n">
        <f aca="false">G22*G23*G24*G25*G26</f>
        <v>0.412586887093744</v>
      </c>
      <c r="H28" s="125" t="n">
        <f aca="false">H22*H23*H24*H25*H26</f>
        <v>0.172084690553746</v>
      </c>
      <c r="I28" s="89" t="s">
        <v>620</v>
      </c>
    </row>
    <row r="29" customFormat="false" ht="15" hidden="false" customHeight="true" outlineLevel="0" collapsed="false">
      <c r="B29" s="81" t="s">
        <v>621</v>
      </c>
      <c r="C29" s="122" t="n">
        <f aca="false">C9/C11</f>
        <v>0.322796390939492</v>
      </c>
      <c r="D29" s="122" t="n">
        <f aca="false">D9/D11</f>
        <v>0.216200606439813</v>
      </c>
      <c r="E29" s="122" t="n">
        <f aca="false">E9/E11</f>
        <v>0.262677287740431</v>
      </c>
      <c r="F29" s="122" t="n">
        <f aca="false">F9/F11</f>
        <v>0.352085354025218</v>
      </c>
      <c r="G29" s="122" t="n">
        <f aca="false">G9/G11</f>
        <v>0.412586887093744</v>
      </c>
      <c r="H29" s="122" t="n">
        <f aca="false">H9/H11</f>
        <v>0.172084690553746</v>
      </c>
      <c r="I29" s="89" t="s">
        <v>622</v>
      </c>
    </row>
    <row r="31" customFormat="false" ht="15" hidden="false" customHeight="true" outlineLevel="0" collapsed="false">
      <c r="B31" s="86" t="s">
        <v>623</v>
      </c>
      <c r="C31" s="86"/>
      <c r="D31" s="86"/>
      <c r="E31" s="86"/>
      <c r="F31" s="86"/>
      <c r="G31" s="86"/>
      <c r="H31" s="86"/>
      <c r="I31" s="86"/>
    </row>
    <row r="32" customFormat="false" ht="15" hidden="false" customHeight="true" outlineLevel="0" collapsed="false">
      <c r="C32" s="85" t="s">
        <v>349</v>
      </c>
      <c r="D32" s="85" t="s">
        <v>350</v>
      </c>
      <c r="E32" s="85" t="s">
        <v>351</v>
      </c>
      <c r="F32" s="85" t="s">
        <v>352</v>
      </c>
      <c r="G32" s="85" t="s">
        <v>353</v>
      </c>
      <c r="H32" s="85" t="s">
        <v>608</v>
      </c>
    </row>
    <row r="33" customFormat="false" ht="15" hidden="false" customHeight="true" outlineLevel="0" collapsed="false">
      <c r="B33" s="81" t="s">
        <v>624</v>
      </c>
      <c r="C33" s="126" t="n">
        <f aca="false">C8*(1-C18)</f>
        <v>4794.93</v>
      </c>
      <c r="D33" s="126" t="n">
        <f aca="false">D8*(1-D18)</f>
        <v>4793.683</v>
      </c>
      <c r="E33" s="126" t="n">
        <f aca="false">E8*(1-E18)</f>
        <v>5361.534</v>
      </c>
      <c r="F33" s="126" t="n">
        <f aca="false">F8*(1-F18)</f>
        <v>8042.696</v>
      </c>
      <c r="G33" s="126" t="n">
        <f aca="false">G8*(1-G18)</f>
        <v>10541.657</v>
      </c>
      <c r="H33" s="126" t="n">
        <f aca="false">H8*(1-H18)</f>
        <v>3193.299</v>
      </c>
      <c r="I33" s="89" t="s">
        <v>625</v>
      </c>
    </row>
    <row r="34" customFormat="false" ht="15" hidden="false" customHeight="true" outlineLevel="0" collapsed="false">
      <c r="B34" s="81" t="s">
        <v>626</v>
      </c>
      <c r="C34" s="126" t="n">
        <f aca="false">C11+C12-C13</f>
        <v>24514</v>
      </c>
      <c r="D34" s="126" t="n">
        <f aca="false">D11+D12-D13</f>
        <v>29072</v>
      </c>
      <c r="E34" s="126" t="n">
        <f aca="false">E11+E12-E13</f>
        <v>27593</v>
      </c>
      <c r="F34" s="126" t="n">
        <f aca="false">F11+F12-F13</f>
        <v>28958</v>
      </c>
      <c r="G34" s="126" t="n">
        <f aca="false">G11+G12-G13</f>
        <v>31017</v>
      </c>
      <c r="H34" s="126" t="n">
        <f aca="false">H11+H12-H13</f>
        <v>31833</v>
      </c>
      <c r="I34" s="89" t="s">
        <v>627</v>
      </c>
    </row>
    <row r="35" customFormat="false" ht="15" hidden="false" customHeight="true" outlineLevel="0" collapsed="false">
      <c r="B35" s="124" t="s">
        <v>628</v>
      </c>
      <c r="C35" s="125" t="n">
        <f aca="false">C33/C34</f>
        <v>0.195599657338664</v>
      </c>
      <c r="D35" s="125" t="n">
        <f aca="false">D33/D34</f>
        <v>0.16489003164557</v>
      </c>
      <c r="E35" s="125" t="n">
        <f aca="false">E33/E34</f>
        <v>0.194307759214294</v>
      </c>
      <c r="F35" s="125" t="n">
        <f aca="false">F33/F34</f>
        <v>0.277736584018233</v>
      </c>
      <c r="G35" s="125" t="n">
        <f aca="false">G33/G34</f>
        <v>0.339867072895509</v>
      </c>
      <c r="H35" s="125" t="n">
        <f aca="false">H33/H34</f>
        <v>0.100314108001131</v>
      </c>
      <c r="I35" s="89" t="s">
        <v>629</v>
      </c>
    </row>
    <row r="37" customFormat="false" ht="15" hidden="false" customHeight="true" outlineLevel="0" collapsed="false">
      <c r="B37" s="81" t="s">
        <v>630</v>
      </c>
      <c r="C37" s="127" t="n">
        <f aca="false">C35-Hipotesis!$C$25</f>
        <v>0.0993182449298372</v>
      </c>
      <c r="D37" s="127" t="n">
        <f aca="false">D35-Hipotesis!$C$25</f>
        <v>0.0686086192367432</v>
      </c>
      <c r="E37" s="127" t="n">
        <f aca="false">E35-Hipotesis!$C$25</f>
        <v>0.0980263468054671</v>
      </c>
      <c r="F37" s="127" t="n">
        <f aca="false">F35-Hipotesis!$C$25</f>
        <v>0.181455171609407</v>
      </c>
      <c r="G37" s="127" t="n">
        <f aca="false">G35-Hipotesis!$C$25</f>
        <v>0.243585660486683</v>
      </c>
      <c r="H37" s="122" t="n">
        <f aca="false">H35-Hipotesis!$C$25</f>
        <v>0.00403269559230447</v>
      </c>
      <c r="I37" s="89" t="s">
        <v>631</v>
      </c>
    </row>
    <row r="39" customFormat="false" ht="15" hidden="false" customHeight="true" outlineLevel="0" collapsed="false">
      <c r="B39" s="86" t="s">
        <v>632</v>
      </c>
      <c r="C39" s="86"/>
      <c r="D39" s="86"/>
      <c r="E39" s="86"/>
      <c r="F39" s="86"/>
      <c r="G39" s="86"/>
      <c r="H39" s="86"/>
      <c r="I39" s="86"/>
    </row>
    <row r="40" customFormat="false" ht="15" hidden="false" customHeight="true" outlineLevel="0" collapsed="false">
      <c r="C40" s="85" t="s">
        <v>349</v>
      </c>
      <c r="D40" s="85" t="s">
        <v>350</v>
      </c>
      <c r="E40" s="85" t="s">
        <v>351</v>
      </c>
      <c r="F40" s="85" t="s">
        <v>352</v>
      </c>
      <c r="G40" s="85" t="s">
        <v>353</v>
      </c>
      <c r="H40" s="85" t="s">
        <v>608</v>
      </c>
    </row>
    <row r="41" customFormat="false" ht="15" hidden="false" customHeight="true" outlineLevel="0" collapsed="false">
      <c r="B41" s="87" t="s">
        <v>633</v>
      </c>
      <c r="C41" s="88" t="n">
        <v>0</v>
      </c>
      <c r="D41" s="88" t="n">
        <v>0</v>
      </c>
      <c r="E41" s="88" t="n">
        <v>0</v>
      </c>
      <c r="F41" s="88" t="n">
        <v>0</v>
      </c>
      <c r="G41" s="88" t="n">
        <v>0</v>
      </c>
      <c r="H41" s="88" t="n">
        <v>0</v>
      </c>
      <c r="I41" s="89" t="s">
        <v>634</v>
      </c>
    </row>
    <row r="42" customFormat="false" ht="15" hidden="false" customHeight="true" outlineLevel="0" collapsed="false">
      <c r="B42" s="87" t="s">
        <v>635</v>
      </c>
      <c r="C42" s="88" t="n">
        <v>0</v>
      </c>
      <c r="D42" s="88" t="n">
        <v>0</v>
      </c>
      <c r="E42" s="88" t="n">
        <v>0</v>
      </c>
      <c r="F42" s="88" t="n">
        <v>0</v>
      </c>
      <c r="G42" s="88" t="n">
        <v>0</v>
      </c>
      <c r="H42" s="88" t="n">
        <v>0</v>
      </c>
      <c r="I42" s="1" t="s">
        <v>636</v>
      </c>
    </row>
    <row r="43" customFormat="false" ht="15" hidden="false" customHeight="true" outlineLevel="0" collapsed="false">
      <c r="B43" s="87" t="s">
        <v>637</v>
      </c>
      <c r="C43" s="88" t="n">
        <v>837</v>
      </c>
      <c r="D43" s="88" t="n">
        <v>871</v>
      </c>
      <c r="E43" s="88" t="n">
        <v>747</v>
      </c>
      <c r="F43" s="88" t="n">
        <v>825</v>
      </c>
      <c r="G43" s="88" t="n">
        <v>850</v>
      </c>
      <c r="H43" s="88" t="n">
        <v>850</v>
      </c>
      <c r="I43" s="1" t="s">
        <v>638</v>
      </c>
    </row>
    <row r="44" customFormat="false" ht="15" hidden="false" customHeight="true" outlineLevel="0" collapsed="false">
      <c r="B44" s="87" t="s">
        <v>639</v>
      </c>
      <c r="C44" s="88" t="n">
        <v>1209</v>
      </c>
      <c r="D44" s="88" t="n">
        <v>1503</v>
      </c>
      <c r="E44" s="88" t="n">
        <v>1442</v>
      </c>
      <c r="F44" s="88" t="n">
        <v>1564</v>
      </c>
      <c r="G44" s="88" t="n">
        <v>1530</v>
      </c>
      <c r="H44" s="88" t="n">
        <v>1500</v>
      </c>
      <c r="I44" s="89" t="s">
        <v>640</v>
      </c>
    </row>
    <row r="46" customFormat="false" ht="15" hidden="false" customHeight="true" outlineLevel="0" collapsed="false">
      <c r="B46" s="81" t="s">
        <v>641</v>
      </c>
      <c r="C46" s="128" t="n">
        <f aca="false">C41/C7*365</f>
        <v>0</v>
      </c>
      <c r="D46" s="128" t="n">
        <f aca="false">D41/D7*365</f>
        <v>0</v>
      </c>
      <c r="E46" s="128" t="n">
        <f aca="false">E41/E7*365</f>
        <v>0</v>
      </c>
      <c r="F46" s="128" t="n">
        <f aca="false">F41/F7*365</f>
        <v>0</v>
      </c>
      <c r="G46" s="128" t="n">
        <f aca="false">G41/G7*365</f>
        <v>0</v>
      </c>
      <c r="H46" s="128" t="n">
        <f aca="false">H41/(H7*4/3)*365</f>
        <v>0</v>
      </c>
      <c r="I46" s="89" t="s">
        <v>642</v>
      </c>
    </row>
    <row r="47" customFormat="false" ht="15" hidden="false" customHeight="true" outlineLevel="0" collapsed="false">
      <c r="B47" s="81" t="s">
        <v>643</v>
      </c>
      <c r="C47" s="128" t="n">
        <f aca="false">C43/C7*365</f>
        <v>10.2870563674322</v>
      </c>
      <c r="D47" s="128" t="n">
        <f aca="false">D43/D7*365</f>
        <v>10.0555098684211</v>
      </c>
      <c r="E47" s="128" t="n">
        <f aca="false">E43/E7*365</f>
        <v>8.08513477448626</v>
      </c>
      <c r="F47" s="128" t="n">
        <f aca="false">F43/F7*365</f>
        <v>7.72095587292634</v>
      </c>
      <c r="G47" s="128" t="n">
        <f aca="false">G43/G7*365</f>
        <v>6.86652059402873</v>
      </c>
      <c r="H47" s="128" t="n">
        <f aca="false">H43/(H7*4/3)*365</f>
        <v>18.9948979591837</v>
      </c>
      <c r="I47" s="89" t="s">
        <v>644</v>
      </c>
    </row>
    <row r="48" customFormat="false" ht="15" hidden="false" customHeight="true" outlineLevel="0" collapsed="false">
      <c r="B48" s="81" t="s">
        <v>645</v>
      </c>
      <c r="C48" s="128" t="n">
        <f aca="false">C42/C7*365</f>
        <v>0</v>
      </c>
      <c r="D48" s="128" t="n">
        <f aca="false">D42/D7*365</f>
        <v>0</v>
      </c>
      <c r="E48" s="128" t="n">
        <f aca="false">E42/E7*365</f>
        <v>0</v>
      </c>
      <c r="F48" s="128" t="n">
        <f aca="false">F42/F7*365</f>
        <v>0</v>
      </c>
      <c r="G48" s="128" t="n">
        <f aca="false">G42/G7*365</f>
        <v>0</v>
      </c>
      <c r="H48" s="128" t="n">
        <f aca="false">H42/(H7*4/3)*365</f>
        <v>0</v>
      </c>
      <c r="I48" s="89" t="s">
        <v>646</v>
      </c>
    </row>
    <row r="49" customFormat="false" ht="15" hidden="false" customHeight="true" outlineLevel="0" collapsed="false">
      <c r="B49" s="81" t="s">
        <v>647</v>
      </c>
      <c r="C49" s="128" t="n">
        <f aca="false">C46+C48-C47</f>
        <v>-10.2870563674322</v>
      </c>
      <c r="D49" s="128" t="n">
        <f aca="false">D46+D48-D47</f>
        <v>-10.0555098684211</v>
      </c>
      <c r="E49" s="128" t="n">
        <f aca="false">E46+E48-E47</f>
        <v>-8.08513477448626</v>
      </c>
      <c r="F49" s="128" t="n">
        <f aca="false">F46+F48-F47</f>
        <v>-7.72095587292634</v>
      </c>
      <c r="G49" s="128" t="n">
        <f aca="false">G46+G48-G47</f>
        <v>-6.86652059402873</v>
      </c>
      <c r="H49" s="128" t="n">
        <f aca="false">H46+H48-H47</f>
        <v>-18.9948979591837</v>
      </c>
      <c r="I49" s="89" t="s">
        <v>648</v>
      </c>
    </row>
    <row r="51" customFormat="false" ht="15" hidden="false" customHeight="true" outlineLevel="0" collapsed="false">
      <c r="B51" s="87" t="s">
        <v>649</v>
      </c>
      <c r="C51" s="96" t="s">
        <v>558</v>
      </c>
      <c r="D51" s="96" t="s">
        <v>558</v>
      </c>
      <c r="E51" s="88" t="s">
        <v>558</v>
      </c>
      <c r="F51" s="88" t="s">
        <v>558</v>
      </c>
      <c r="G51" s="88" t="n">
        <v>18400</v>
      </c>
      <c r="H51" s="88" t="s">
        <v>457</v>
      </c>
      <c r="I51" s="89" t="s">
        <v>650</v>
      </c>
    </row>
    <row r="52" customFormat="false" ht="15" hidden="false" customHeight="true" outlineLevel="0" collapsed="false">
      <c r="B52" s="81" t="s">
        <v>651</v>
      </c>
      <c r="C52" s="96" t="s">
        <v>457</v>
      </c>
      <c r="D52" s="96" t="s">
        <v>457</v>
      </c>
      <c r="E52" s="129" t="s">
        <v>457</v>
      </c>
      <c r="F52" s="129" t="s">
        <v>457</v>
      </c>
      <c r="G52" s="129" t="n">
        <f aca="false">G51/G7</f>
        <v>0.40723280879977</v>
      </c>
      <c r="H52" s="130" t="s">
        <v>457</v>
      </c>
      <c r="I52" s="89" t="s">
        <v>652</v>
      </c>
    </row>
    <row r="55" customFormat="false" ht="15" hidden="false" customHeight="true" outlineLevel="0" collapsed="false">
      <c r="B55" s="86" t="s">
        <v>653</v>
      </c>
      <c r="C55" s="86"/>
      <c r="D55" s="86"/>
      <c r="E55" s="86"/>
      <c r="F55" s="86"/>
      <c r="G55" s="86"/>
      <c r="H55" s="86"/>
      <c r="I55" s="86"/>
    </row>
    <row r="56" customFormat="false" ht="27.75" hidden="false" customHeight="true" outlineLevel="0" collapsed="false">
      <c r="B56" s="46" t="s">
        <v>654</v>
      </c>
      <c r="C56" s="46"/>
      <c r="D56" s="46"/>
      <c r="E56" s="46"/>
      <c r="F56" s="46"/>
      <c r="G56" s="46"/>
      <c r="H56" s="46"/>
      <c r="I56" s="46"/>
    </row>
    <row r="57" customFormat="false" ht="27.75" hidden="false" customHeight="true" outlineLevel="0" collapsed="false">
      <c r="B57" s="46" t="s">
        <v>655</v>
      </c>
      <c r="C57" s="46"/>
      <c r="D57" s="46"/>
      <c r="E57" s="46"/>
      <c r="F57" s="46"/>
      <c r="G57" s="46"/>
      <c r="H57" s="46"/>
      <c r="I57" s="46"/>
    </row>
    <row r="58" customFormat="false" ht="27.75" hidden="false" customHeight="true" outlineLevel="0" collapsed="false">
      <c r="B58" s="46" t="s">
        <v>656</v>
      </c>
      <c r="C58" s="46"/>
      <c r="D58" s="46"/>
      <c r="E58" s="46"/>
      <c r="F58" s="46"/>
      <c r="G58" s="46"/>
      <c r="H58" s="46"/>
      <c r="I58" s="46"/>
    </row>
    <row r="59" customFormat="false" ht="27.75" hidden="false" customHeight="true" outlineLevel="0" collapsed="false">
      <c r="B59" s="46" t="s">
        <v>657</v>
      </c>
      <c r="C59" s="46"/>
      <c r="D59" s="46"/>
      <c r="E59" s="46"/>
      <c r="F59" s="46"/>
      <c r="G59" s="46"/>
      <c r="H59" s="46"/>
      <c r="I59" s="46"/>
    </row>
    <row r="60" customFormat="false" ht="27.75" hidden="false" customHeight="true" outlineLevel="0" collapsed="false">
      <c r="B60" s="46" t="s">
        <v>658</v>
      </c>
      <c r="C60" s="46"/>
      <c r="D60" s="46"/>
      <c r="E60" s="46"/>
      <c r="F60" s="46"/>
      <c r="G60" s="46"/>
      <c r="H60" s="46"/>
      <c r="I60" s="46"/>
    </row>
    <row r="61" customFormat="false" ht="27.75" hidden="false" customHeight="true" outlineLevel="0" collapsed="false">
      <c r="B61" s="46" t="s">
        <v>659</v>
      </c>
      <c r="C61" s="46"/>
      <c r="D61" s="46"/>
      <c r="E61" s="46"/>
      <c r="F61" s="46"/>
      <c r="G61" s="46"/>
      <c r="H61" s="46"/>
      <c r="I61" s="46"/>
    </row>
    <row r="62" customFormat="false" ht="27.75" hidden="false" customHeight="true" outlineLevel="0" collapsed="false">
      <c r="B62" s="46" t="s">
        <v>660</v>
      </c>
      <c r="C62" s="46"/>
      <c r="D62" s="46"/>
      <c r="E62" s="46"/>
      <c r="F62" s="46"/>
      <c r="G62" s="46"/>
      <c r="H62" s="46"/>
      <c r="I62" s="46"/>
    </row>
    <row r="63" customFormat="false" ht="27.75" hidden="false" customHeight="true" outlineLevel="0" collapsed="false">
      <c r="B63" s="46" t="s">
        <v>661</v>
      </c>
      <c r="C63" s="46"/>
      <c r="D63" s="46"/>
      <c r="E63" s="46"/>
      <c r="F63" s="46"/>
      <c r="G63" s="46"/>
      <c r="H63" s="46"/>
      <c r="I63" s="46"/>
    </row>
    <row r="64" customFormat="false" ht="27.75" hidden="false" customHeight="true" outlineLevel="0" collapsed="false">
      <c r="B64" s="46" t="s">
        <v>662</v>
      </c>
      <c r="C64" s="46"/>
      <c r="D64" s="46"/>
      <c r="E64" s="46"/>
      <c r="F64" s="46"/>
      <c r="G64" s="46"/>
      <c r="H64" s="46"/>
      <c r="I64" s="46"/>
    </row>
    <row r="65" customFormat="false" ht="27.75" hidden="false" customHeight="true" outlineLevel="0" collapsed="false">
      <c r="B65" s="46" t="s">
        <v>663</v>
      </c>
      <c r="C65" s="46"/>
      <c r="D65" s="46"/>
      <c r="E65" s="46"/>
      <c r="F65" s="46"/>
      <c r="G65" s="46"/>
      <c r="H65" s="46"/>
      <c r="I65" s="46"/>
    </row>
  </sheetData>
  <mergeCells count="17">
    <mergeCell ref="B2:I2"/>
    <mergeCell ref="B3:I3"/>
    <mergeCell ref="B5:I5"/>
    <mergeCell ref="B20:I20"/>
    <mergeCell ref="B31:I31"/>
    <mergeCell ref="B39:I39"/>
    <mergeCell ref="B55:I55"/>
    <mergeCell ref="B56:I56"/>
    <mergeCell ref="B57:I57"/>
    <mergeCell ref="B58:I58"/>
    <mergeCell ref="B59:I59"/>
    <mergeCell ref="B60:I60"/>
    <mergeCell ref="B61:I61"/>
    <mergeCell ref="B62:I62"/>
    <mergeCell ref="B63:I63"/>
    <mergeCell ref="B64:I64"/>
    <mergeCell ref="B65:I6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4"/>
    <col collapsed="false" customWidth="true" hidden="false" outlineLevel="0" max="6" min="3" style="1" width="16"/>
    <col collapsed="false" customWidth="true" hidden="false" outlineLevel="0" max="7" min="7" style="1" width="60"/>
  </cols>
  <sheetData>
    <row r="2" customFormat="false" ht="25.5" hidden="false" customHeight="true" outlineLevel="0" collapsed="false">
      <c r="B2" s="131" t="s">
        <v>664</v>
      </c>
      <c r="C2" s="131"/>
      <c r="D2" s="131"/>
      <c r="E2" s="131"/>
      <c r="F2" s="131"/>
      <c r="G2" s="131"/>
    </row>
    <row r="3" customFormat="false" ht="15" hidden="false" customHeight="true" outlineLevel="0" collapsed="false">
      <c r="B3" s="26" t="s">
        <v>665</v>
      </c>
      <c r="C3" s="26"/>
      <c r="D3" s="26"/>
      <c r="E3" s="26"/>
      <c r="F3" s="26"/>
      <c r="G3" s="26"/>
    </row>
    <row r="5" customFormat="false" ht="21.75" hidden="false" customHeight="true" outlineLevel="0" collapsed="false">
      <c r="B5" s="19" t="s">
        <v>666</v>
      </c>
      <c r="C5" s="19"/>
      <c r="D5" s="19"/>
      <c r="E5" s="19"/>
      <c r="F5" s="19"/>
      <c r="G5" s="19"/>
    </row>
    <row r="6" customFormat="false" ht="15" hidden="false" customHeight="true" outlineLevel="0" collapsed="false">
      <c r="B6" s="8" t="s">
        <v>258</v>
      </c>
      <c r="C6" s="37" t="n">
        <f aca="false">Hipotesis!$C$6</f>
        <v>87.02</v>
      </c>
    </row>
    <row r="7" customFormat="false" ht="15" hidden="false" customHeight="true" outlineLevel="0" collapsed="false">
      <c r="B7" s="8" t="s">
        <v>667</v>
      </c>
      <c r="C7" s="132" t="n">
        <f aca="false">Hipotesis!$C$8</f>
        <v>4212.8</v>
      </c>
    </row>
    <row r="8" customFormat="false" ht="15" hidden="false" customHeight="true" outlineLevel="0" collapsed="false">
      <c r="B8" s="8" t="s">
        <v>599</v>
      </c>
      <c r="C8" s="133" t="n">
        <f aca="false">Hipotesis!$C$15</f>
        <v>9062</v>
      </c>
    </row>
    <row r="9" customFormat="false" ht="15" hidden="false" customHeight="true" outlineLevel="0" collapsed="false">
      <c r="B9" s="8" t="s">
        <v>278</v>
      </c>
      <c r="C9" s="133" t="n">
        <f aca="false">Hipotesis!$C$16</f>
        <v>0</v>
      </c>
    </row>
    <row r="10" customFormat="false" ht="15" hidden="false" customHeight="true" outlineLevel="0" collapsed="false">
      <c r="B10" s="8" t="s">
        <v>668</v>
      </c>
      <c r="C10" s="133" t="n">
        <f aca="false">Hipotesis!$C$14</f>
        <v>13464</v>
      </c>
    </row>
    <row r="11" customFormat="false" ht="15" hidden="false" customHeight="true" outlineLevel="0" collapsed="false">
      <c r="B11" s="8" t="s">
        <v>669</v>
      </c>
      <c r="C11" s="134" t="n">
        <f aca="false">Hipotesis!$C$25</f>
        <v>0.0962814124088264</v>
      </c>
    </row>
    <row r="12" customFormat="false" ht="15" hidden="false" customHeight="true" outlineLevel="0" collapsed="false">
      <c r="B12" s="8" t="s">
        <v>670</v>
      </c>
      <c r="C12" s="135" t="n">
        <f aca="false">Hipotesis!$C$47</f>
        <v>0.03</v>
      </c>
    </row>
    <row r="13" customFormat="false" ht="15" hidden="false" customHeight="true" outlineLevel="0" collapsed="false">
      <c r="B13" s="8" t="s">
        <v>671</v>
      </c>
      <c r="C13" s="133" t="n">
        <f aca="false">Modelo!$C$41</f>
        <v>63590.9543393611</v>
      </c>
    </row>
    <row r="14" customFormat="false" ht="15" hidden="false" customHeight="true" outlineLevel="0" collapsed="false">
      <c r="B14" s="8" t="s">
        <v>672</v>
      </c>
      <c r="C14" s="133" t="n">
        <f aca="false">Modelo!$G$33</f>
        <v>19544.294038416</v>
      </c>
    </row>
    <row r="15" customFormat="false" ht="15" hidden="false" customHeight="true" outlineLevel="0" collapsed="false">
      <c r="B15" s="8" t="s">
        <v>673</v>
      </c>
      <c r="C15" s="133" t="n">
        <f aca="false">Modelo!$G$23</f>
        <v>24967.80270768</v>
      </c>
    </row>
    <row r="16" customFormat="false" ht="15" hidden="false" customHeight="true" outlineLevel="0" collapsed="false">
      <c r="B16" s="8" t="s">
        <v>674</v>
      </c>
      <c r="C16" s="133" t="n">
        <f aca="false">Modelo!$G$28</f>
        <v>573.264170304</v>
      </c>
    </row>
    <row r="17" customFormat="false" ht="15" hidden="false" customHeight="true" outlineLevel="0" collapsed="false">
      <c r="B17" s="8" t="s">
        <v>675</v>
      </c>
      <c r="C17" s="133" t="n">
        <f aca="false">Modelo!$G$13</f>
        <v>71658.021288</v>
      </c>
    </row>
    <row r="18" customFormat="false" ht="15" hidden="false" customHeight="true" outlineLevel="0" collapsed="false">
      <c r="B18" s="8" t="s">
        <v>676</v>
      </c>
      <c r="C18" s="133" t="n">
        <f aca="false">Modelo!$G$27</f>
        <v>19974.242166144</v>
      </c>
    </row>
    <row r="19" customFormat="false" ht="15" hidden="false" customHeight="true" outlineLevel="0" collapsed="false">
      <c r="B19" s="8" t="s">
        <v>677</v>
      </c>
      <c r="C19" s="135" t="n">
        <f aca="false">Hipotesis!$C$13</f>
        <v>0.2</v>
      </c>
    </row>
    <row r="21" customFormat="false" ht="21.75" hidden="false" customHeight="true" outlineLevel="0" collapsed="false">
      <c r="B21" s="19" t="s">
        <v>678</v>
      </c>
      <c r="C21" s="19"/>
      <c r="D21" s="19"/>
      <c r="E21" s="19"/>
      <c r="F21" s="19"/>
      <c r="G21" s="19"/>
    </row>
    <row r="22" customFormat="false" ht="15" hidden="false" customHeight="true" outlineLevel="0" collapsed="false">
      <c r="B22" s="105" t="s">
        <v>679</v>
      </c>
      <c r="C22" s="136" t="n">
        <f aca="false">C6*C7</f>
        <v>366597.856</v>
      </c>
    </row>
    <row r="23" customFormat="false" ht="15" hidden="false" customHeight="true" outlineLevel="0" collapsed="false">
      <c r="B23" s="44" t="s">
        <v>680</v>
      </c>
      <c r="C23" s="136" t="n">
        <f aca="false">C10</f>
        <v>13464</v>
      </c>
    </row>
    <row r="24" customFormat="false" ht="15" hidden="false" customHeight="true" outlineLevel="0" collapsed="false">
      <c r="B24" s="44" t="s">
        <v>681</v>
      </c>
      <c r="C24" s="137" t="n">
        <f aca="false">-C8</f>
        <v>-9062</v>
      </c>
    </row>
    <row r="25" customFormat="false" ht="15" hidden="false" customHeight="true" outlineLevel="0" collapsed="false">
      <c r="B25" s="44" t="s">
        <v>682</v>
      </c>
      <c r="C25" s="137" t="n">
        <f aca="false">-C9</f>
        <v>-0</v>
      </c>
    </row>
    <row r="26" customFormat="false" ht="15" hidden="false" customHeight="true" outlineLevel="0" collapsed="false">
      <c r="B26" s="105" t="s">
        <v>683</v>
      </c>
      <c r="C26" s="138" t="n">
        <f aca="false">C22+C10-C8-C9</f>
        <v>370999.856</v>
      </c>
    </row>
    <row r="27" customFormat="false" ht="15" hidden="false" customHeight="true" outlineLevel="0" collapsed="false">
      <c r="B27" s="44" t="s">
        <v>684</v>
      </c>
      <c r="C27" s="137" t="n">
        <f aca="false">-C13</f>
        <v>-63590.9543393611</v>
      </c>
    </row>
    <row r="28" customFormat="false" ht="15" hidden="false" customHeight="true" outlineLevel="0" collapsed="false">
      <c r="B28" s="105" t="s">
        <v>685</v>
      </c>
      <c r="C28" s="138" t="n">
        <f aca="false">C26-C13</f>
        <v>307408.901660639</v>
      </c>
    </row>
    <row r="29" customFormat="false" ht="15" hidden="false" customHeight="true" outlineLevel="0" collapsed="false">
      <c r="B29" s="105" t="s">
        <v>686</v>
      </c>
      <c r="C29" s="138" t="n">
        <f aca="false">C28*(1+C11)^5</f>
        <v>486773.236983666</v>
      </c>
    </row>
    <row r="31" customFormat="false" ht="21.75" hidden="false" customHeight="true" outlineLevel="0" collapsed="false">
      <c r="B31" s="19" t="s">
        <v>687</v>
      </c>
      <c r="C31" s="19"/>
      <c r="D31" s="19"/>
      <c r="E31" s="19"/>
      <c r="F31" s="19"/>
      <c r="G31" s="19"/>
    </row>
    <row r="32" customFormat="false" ht="15" hidden="false" customHeight="true" outlineLevel="0" collapsed="false">
      <c r="B32" s="26" t="s">
        <v>688</v>
      </c>
      <c r="C32" s="26"/>
      <c r="D32" s="26"/>
      <c r="E32" s="26"/>
      <c r="F32" s="26"/>
      <c r="G32" s="26"/>
    </row>
    <row r="33" customFormat="false" ht="17.25" hidden="false" customHeight="true" outlineLevel="0" collapsed="false">
      <c r="B33" s="105" t="s">
        <v>689</v>
      </c>
      <c r="C33" s="139" t="n">
        <f aca="false">(C29*C11-C14)/(C29+C14)</f>
        <v>0.053964002956864</v>
      </c>
      <c r="D33" s="31" t="s">
        <v>690</v>
      </c>
      <c r="E33" s="140" t="n">
        <f aca="false">C33-C12</f>
        <v>0.023964002956864</v>
      </c>
      <c r="G33" s="141" t="s">
        <v>691</v>
      </c>
    </row>
    <row r="35" customFormat="false" ht="21.75" hidden="false" customHeight="true" outlineLevel="0" collapsed="false">
      <c r="B35" s="19" t="s">
        <v>692</v>
      </c>
      <c r="C35" s="19"/>
      <c r="D35" s="19"/>
      <c r="E35" s="19"/>
      <c r="F35" s="19"/>
      <c r="G35" s="19"/>
    </row>
    <row r="36" customFormat="false" ht="15" hidden="false" customHeight="true" outlineLevel="0" collapsed="false">
      <c r="B36" s="26" t="s">
        <v>693</v>
      </c>
      <c r="C36" s="26"/>
      <c r="D36" s="26"/>
      <c r="E36" s="26"/>
      <c r="F36" s="26"/>
      <c r="G36" s="26"/>
    </row>
    <row r="37" customFormat="false" ht="15" hidden="false" customHeight="true" outlineLevel="0" collapsed="false">
      <c r="B37" s="29" t="s">
        <v>694</v>
      </c>
      <c r="C37" s="142" t="n">
        <v>0.075</v>
      </c>
      <c r="D37" s="142" t="n">
        <v>0.085</v>
      </c>
      <c r="E37" s="142" t="n">
        <v>0.0912</v>
      </c>
      <c r="F37" s="142" t="n">
        <v>0.095</v>
      </c>
      <c r="G37" s="142" t="n">
        <v>0.105</v>
      </c>
      <c r="H37" s="142" t="n">
        <v>0.115</v>
      </c>
    </row>
    <row r="38" customFormat="false" ht="15" hidden="false" customHeight="true" outlineLevel="0" collapsed="false">
      <c r="B38" s="143" t="s">
        <v>695</v>
      </c>
      <c r="C38" s="144" t="n">
        <f aca="false">((Modelo!C33/(1+C$37)^0.5 + Modelo!D33/(1+C$37)^1.5 + Modelo!E33/(1+C$37)^2.5 + Modelo!F33/(1+C$37)^3.5 + Modelo!G33/(1+C$37)^4.5)+(Modelo!G33*(1+C12)/(C$37-C12))/(1+C$37)^5+C8+C9-C10)/C7</f>
        <v>88.7895482164238</v>
      </c>
      <c r="D38" s="144" t="n">
        <f aca="false">((Modelo!C33/(1+D$37)^0.5 + Modelo!D33/(1+D$37)^1.5 + Modelo!E33/(1+D$37)^2.5 + Modelo!F33/(1+D$37)^3.5 + Modelo!G33/(1+D$37)^4.5)+(Modelo!G33*(1+C12)/(D$37-C12))/(1+D$37)^5+C8+C9-C10)/C7</f>
        <v>72.23150024184</v>
      </c>
      <c r="E38" s="145" t="n">
        <f aca="false">((Modelo!C33/(1+E$37)^0.5 + Modelo!D33/(1+E$37)^1.5 + Modelo!E33/(1+E$37)^2.5 + Modelo!F33/(1+E$37)^3.5 + Modelo!G33/(1+E$37)^4.5)+(Modelo!G33*(1+C12)/(E$37-C12))/(1+E$37)^5+C8+C9-C10)/C7</f>
        <v>64.6963208219361</v>
      </c>
      <c r="F38" s="144" t="n">
        <f aca="false">((Modelo!C33/(1+F$37)^0.5 + Modelo!D33/(1+F$37)^1.5 + Modelo!E33/(1+F$37)^2.5 + Modelo!F33/(1+F$37)^3.5 + Modelo!G33/(1+F$37)^4.5)+(Modelo!G33*(1+C12)/(F$37-C12))/(1+F$37)^5+C8+C9-C10)/C7</f>
        <v>60.7930045474103</v>
      </c>
      <c r="G38" s="144" t="n">
        <f aca="false">((Modelo!C33/(1+G$37)^0.5 + Modelo!D33/(1+G$37)^1.5 + Modelo!E33/(1+G$37)^2.5 + Modelo!F33/(1+G$37)^3.5 + Modelo!G33/(1+G$37)^4.5)+(Modelo!G33*(1+C12)/(G$37-C12))/(1+G$37)^5+C8+C9-C10)/C7</f>
        <v>52.4246016619865</v>
      </c>
      <c r="H38" s="144" t="n">
        <f aca="false">((Modelo!C33/(1+H$37)^0.5 + Modelo!D33/(1+H$37)^1.5 + Modelo!E33/(1+H$37)^2.5 + Modelo!F33/(1+H$37)^3.5 + Modelo!G33/(1+H$37)^4.5)+(Modelo!G33*(1+C12)/(H$37-C12))/(1+H$37)^5+C8+C9-C10)/C7</f>
        <v>46.0414013822097</v>
      </c>
    </row>
    <row r="39" customFormat="false" ht="18.75" hidden="false" customHeight="true" outlineLevel="0" collapsed="false">
      <c r="B39" s="39" t="s">
        <v>696</v>
      </c>
      <c r="C39" s="139" t="n">
        <f aca="false">SLOPE(C37:H37,C38:H38)*C6+INTERCEPT(C37:H37,C38:H38)</f>
        <v>0.0733853142006095</v>
      </c>
      <c r="D39" s="31" t="s">
        <v>697</v>
      </c>
      <c r="E39" s="140" t="n">
        <f aca="false">C39-C11</f>
        <v>-0.0228960982082169</v>
      </c>
      <c r="G39" s="141" t="s">
        <v>698</v>
      </c>
    </row>
    <row r="41" customFormat="false" ht="21.75" hidden="false" customHeight="true" outlineLevel="0" collapsed="false">
      <c r="B41" s="19" t="s">
        <v>699</v>
      </c>
      <c r="C41" s="19"/>
      <c r="D41" s="19"/>
      <c r="E41" s="19"/>
      <c r="F41" s="19"/>
      <c r="G41" s="19"/>
    </row>
    <row r="42" customFormat="false" ht="15" hidden="false" customHeight="true" outlineLevel="0" collapsed="false">
      <c r="B42" s="26" t="s">
        <v>700</v>
      </c>
      <c r="C42" s="26"/>
      <c r="D42" s="26"/>
      <c r="E42" s="26"/>
      <c r="F42" s="26"/>
      <c r="G42" s="26"/>
    </row>
    <row r="43" customFormat="false" ht="15" hidden="false" customHeight="true" outlineLevel="0" collapsed="false">
      <c r="B43" s="105" t="s">
        <v>701</v>
      </c>
      <c r="C43" s="136" t="n">
        <f aca="false">C29*(C11-C12)/(1+C12)</f>
        <v>31324.289000091</v>
      </c>
      <c r="D43" s="31" t="s">
        <v>702</v>
      </c>
      <c r="E43" s="146" t="n">
        <f aca="false">C43/C14-1</f>
        <v>0.602733203794438</v>
      </c>
    </row>
    <row r="44" customFormat="false" ht="23.25" hidden="false" customHeight="true" outlineLevel="0" collapsed="false">
      <c r="B44" s="8" t="s">
        <v>703</v>
      </c>
      <c r="C44" s="136" t="n">
        <f aca="false">C43-C16-Modelo!G30-Modelo!G32</f>
        <v>31754.237127819</v>
      </c>
    </row>
    <row r="45" customFormat="false" ht="15" hidden="false" customHeight="true" outlineLevel="0" collapsed="false">
      <c r="B45" s="8" t="s">
        <v>704</v>
      </c>
      <c r="C45" s="136" t="n">
        <f aca="false">C44/(1-C19)</f>
        <v>39692.7964097738</v>
      </c>
    </row>
    <row r="46" customFormat="false" ht="17.25" hidden="false" customHeight="true" outlineLevel="0" collapsed="false">
      <c r="B46" s="105" t="s">
        <v>705</v>
      </c>
      <c r="C46" s="147" t="n">
        <f aca="false">C45/C17</f>
        <v>0.553919794271807</v>
      </c>
      <c r="D46" s="31" t="s">
        <v>706</v>
      </c>
      <c r="E46" s="148" t="n">
        <f aca="false">C46-C15/C17</f>
        <v>0.205489817293624</v>
      </c>
      <c r="G46" s="141" t="s">
        <v>707</v>
      </c>
    </row>
    <row r="48" customFormat="false" ht="21.75" hidden="false" customHeight="true" outlineLevel="0" collapsed="false">
      <c r="B48" s="19" t="s">
        <v>708</v>
      </c>
      <c r="C48" s="19"/>
      <c r="D48" s="19"/>
      <c r="E48" s="19"/>
      <c r="F48" s="19"/>
      <c r="G48" s="19"/>
    </row>
    <row r="49" customFormat="false" ht="15" hidden="false" customHeight="true" outlineLevel="0" collapsed="false">
      <c r="B49" s="44" t="s">
        <v>709</v>
      </c>
      <c r="C49" s="136" t="n">
        <f aca="false">C18+C16-C43-Modelo!G32</f>
        <v>-10776.782663643</v>
      </c>
    </row>
    <row r="50" customFormat="false" ht="17.25" hidden="false" customHeight="true" outlineLevel="0" collapsed="false">
      <c r="B50" s="105" t="s">
        <v>710</v>
      </c>
      <c r="C50" s="147" t="n">
        <f aca="false">C49/C17</f>
        <v>-0.150391853834899</v>
      </c>
      <c r="D50" s="31" t="s">
        <v>711</v>
      </c>
      <c r="E50" s="148" t="n">
        <f aca="false">C50-Hipotesis!$H$39</f>
        <v>-0.163391853834899</v>
      </c>
      <c r="G50" s="141" t="s">
        <v>712</v>
      </c>
    </row>
    <row r="52" customFormat="false" ht="21.75" hidden="false" customHeight="true" outlineLevel="0" collapsed="false">
      <c r="B52" s="19" t="s">
        <v>713</v>
      </c>
      <c r="C52" s="19"/>
      <c r="D52" s="19"/>
      <c r="E52" s="19"/>
      <c r="F52" s="19"/>
      <c r="G52" s="19"/>
    </row>
    <row r="53" customFormat="false" ht="15" hidden="false" customHeight="true" outlineLevel="0" collapsed="false">
      <c r="B53" s="8" t="s">
        <v>714</v>
      </c>
      <c r="C53" s="136" t="n">
        <f aca="false">C13 + C14*(1+C12)/(C11-C12)/(1+C11)^5</f>
        <v>255393.870091562</v>
      </c>
    </row>
    <row r="54" customFormat="false" ht="15" hidden="false" customHeight="true" outlineLevel="0" collapsed="false">
      <c r="B54" s="8" t="s">
        <v>715</v>
      </c>
      <c r="C54" s="149" t="n">
        <f aca="false">C26/C53</f>
        <v>1.45265763765979</v>
      </c>
    </row>
    <row r="55" customFormat="false" ht="15" hidden="false" customHeight="true" outlineLevel="0" collapsed="false">
      <c r="B55" s="8" t="s">
        <v>716</v>
      </c>
      <c r="C55" s="136" t="n">
        <f aca="false">C17*C54</f>
        <v>104094.571923601</v>
      </c>
    </row>
    <row r="56" customFormat="false" ht="18.75" hidden="false" customHeight="true" outlineLevel="0" collapsed="false">
      <c r="B56" s="105" t="s">
        <v>717</v>
      </c>
      <c r="C56" s="147" t="n">
        <f aca="false">(C55/Historico!G6)^(1/5)-1</f>
        <v>0.181654747226477</v>
      </c>
      <c r="D56" s="31" t="s">
        <v>718</v>
      </c>
      <c r="E56" s="148" t="n">
        <f aca="false">C56-((C17/Historico!G6)^(1/5)-1)</f>
        <v>0.0850302337413724</v>
      </c>
      <c r="G56" s="141" t="s">
        <v>719</v>
      </c>
    </row>
    <row r="58" customFormat="false" ht="21.75" hidden="false" customHeight="true" outlineLevel="0" collapsed="false">
      <c r="B58" s="19" t="s">
        <v>720</v>
      </c>
      <c r="C58" s="19"/>
      <c r="D58" s="19"/>
      <c r="E58" s="19"/>
      <c r="F58" s="19"/>
      <c r="G58" s="19"/>
    </row>
    <row r="59" customFormat="false" ht="23.25" hidden="false" customHeight="true" outlineLevel="0" collapsed="false">
      <c r="B59" s="29" t="s">
        <v>721</v>
      </c>
      <c r="C59" s="29" t="s">
        <v>722</v>
      </c>
      <c r="D59" s="29" t="s">
        <v>723</v>
      </c>
      <c r="E59" s="29" t="s">
        <v>724</v>
      </c>
      <c r="F59" s="29" t="s">
        <v>64</v>
      </c>
    </row>
    <row r="60" customFormat="false" ht="21.75" hidden="false" customHeight="true" outlineLevel="0" collapsed="false">
      <c r="B60" s="8" t="s">
        <v>725</v>
      </c>
      <c r="C60" s="150" t="n">
        <f aca="false">C12</f>
        <v>0.03</v>
      </c>
      <c r="D60" s="151" t="n">
        <f aca="false">C33</f>
        <v>0.053964002956864</v>
      </c>
      <c r="E60" s="152" t="n">
        <f aca="false">D60-C60</f>
        <v>0.023964002956864</v>
      </c>
      <c r="F60" s="141" t="s">
        <v>726</v>
      </c>
    </row>
    <row r="61" customFormat="false" ht="21.75" hidden="false" customHeight="true" outlineLevel="0" collapsed="false">
      <c r="B61" s="8" t="s">
        <v>727</v>
      </c>
      <c r="C61" s="153" t="n">
        <f aca="false">C11</f>
        <v>0.0962814124088264</v>
      </c>
      <c r="D61" s="154" t="n">
        <f aca="false">C39</f>
        <v>0.0733853142006095</v>
      </c>
      <c r="E61" s="155" t="n">
        <f aca="false">D61-C61</f>
        <v>-0.0228960982082169</v>
      </c>
      <c r="F61" s="141" t="s">
        <v>728</v>
      </c>
    </row>
    <row r="62" customFormat="false" ht="21.75" hidden="false" customHeight="true" outlineLevel="0" collapsed="false">
      <c r="B62" s="8" t="s">
        <v>729</v>
      </c>
      <c r="C62" s="150" t="n">
        <f aca="false">C15/C17</f>
        <v>0.348429976978183</v>
      </c>
      <c r="D62" s="151" t="n">
        <f aca="false">C45/C17</f>
        <v>0.553919794271807</v>
      </c>
      <c r="E62" s="152" t="n">
        <f aca="false">D62-C62</f>
        <v>0.205489817293624</v>
      </c>
      <c r="F62" s="141" t="s">
        <v>730</v>
      </c>
    </row>
    <row r="63" customFormat="false" ht="21.75" hidden="false" customHeight="true" outlineLevel="0" collapsed="false">
      <c r="B63" s="8" t="s">
        <v>731</v>
      </c>
      <c r="C63" s="150" t="n">
        <f aca="false">Hipotesis!$H$39</f>
        <v>0.013</v>
      </c>
      <c r="D63" s="151" t="n">
        <f aca="false">C49/C17</f>
        <v>-0.150391853834899</v>
      </c>
      <c r="E63" s="152" t="n">
        <f aca="false">D63-C63</f>
        <v>-0.163391853834899</v>
      </c>
      <c r="F63" s="141" t="s">
        <v>732</v>
      </c>
    </row>
    <row r="64" customFormat="false" ht="21.75" hidden="false" customHeight="true" outlineLevel="0" collapsed="false">
      <c r="B64" s="8" t="s">
        <v>733</v>
      </c>
      <c r="C64" s="150" t="n">
        <f aca="false">(C17/Historico!G6)^(1/5)-1</f>
        <v>0.0966245134851049</v>
      </c>
      <c r="D64" s="151" t="n">
        <f aca="false">(C55/Historico!G6)^(1/5)-1</f>
        <v>0.181654747226477</v>
      </c>
      <c r="E64" s="152" t="n">
        <f aca="false">D64-C64</f>
        <v>0.0850302337413724</v>
      </c>
      <c r="F64" s="141" t="s">
        <v>734</v>
      </c>
    </row>
    <row r="66" customFormat="false" ht="21.75" hidden="false" customHeight="true" outlineLevel="0" collapsed="false">
      <c r="B66" s="19" t="s">
        <v>735</v>
      </c>
      <c r="C66" s="19"/>
      <c r="D66" s="19"/>
      <c r="E66" s="19"/>
      <c r="F66" s="19"/>
      <c r="G66" s="19"/>
    </row>
    <row r="67" customFormat="false" ht="31.5" hidden="false" customHeight="true" outlineLevel="0" collapsed="false">
      <c r="B67" s="156" t="s">
        <v>736</v>
      </c>
      <c r="C67" s="156"/>
      <c r="D67" s="156"/>
      <c r="E67" s="156"/>
      <c r="F67" s="156"/>
      <c r="G67" s="156"/>
    </row>
    <row r="68" customFormat="false" ht="31.5" hidden="false" customHeight="true" outlineLevel="0" collapsed="false">
      <c r="B68" s="156" t="s">
        <v>737</v>
      </c>
      <c r="C68" s="156"/>
      <c r="D68" s="156"/>
      <c r="E68" s="156"/>
      <c r="F68" s="156"/>
      <c r="G68" s="156"/>
    </row>
    <row r="69" customFormat="false" ht="31.5" hidden="false" customHeight="true" outlineLevel="0" collapsed="false">
      <c r="B69" s="156" t="s">
        <v>738</v>
      </c>
      <c r="C69" s="156"/>
      <c r="D69" s="156"/>
      <c r="E69" s="156"/>
      <c r="F69" s="156"/>
      <c r="G69" s="156"/>
    </row>
    <row r="70" customFormat="false" ht="31.5" hidden="false" customHeight="true" outlineLevel="0" collapsed="false">
      <c r="B70" s="156" t="s">
        <v>739</v>
      </c>
      <c r="C70" s="156"/>
      <c r="D70" s="156"/>
      <c r="E70" s="156"/>
      <c r="F70" s="156"/>
      <c r="G70" s="156"/>
    </row>
    <row r="71" customFormat="false" ht="31.5" hidden="false" customHeight="true" outlineLevel="0" collapsed="false">
      <c r="B71" s="156" t="s">
        <v>740</v>
      </c>
      <c r="C71" s="156"/>
      <c r="D71" s="156"/>
      <c r="E71" s="156"/>
      <c r="F71" s="156"/>
      <c r="G71" s="156"/>
    </row>
  </sheetData>
  <mergeCells count="19">
    <mergeCell ref="B2:G2"/>
    <mergeCell ref="B3:G3"/>
    <mergeCell ref="B5:G5"/>
    <mergeCell ref="B21:G21"/>
    <mergeCell ref="B31:G31"/>
    <mergeCell ref="B32:G32"/>
    <mergeCell ref="B35:G35"/>
    <mergeCell ref="B36:G36"/>
    <mergeCell ref="B41:G41"/>
    <mergeCell ref="B42:G42"/>
    <mergeCell ref="B48:G48"/>
    <mergeCell ref="B52:G52"/>
    <mergeCell ref="B58:G58"/>
    <mergeCell ref="B66:G66"/>
    <mergeCell ref="B67:G67"/>
    <mergeCell ref="B68:G68"/>
    <mergeCell ref="B69:G69"/>
    <mergeCell ref="B70:G70"/>
    <mergeCell ref="B71:G7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8"/>
    <col collapsed="false" customWidth="true" hidden="false" outlineLevel="0" max="3" min="3" style="1" width="75"/>
    <col collapsed="false" customWidth="true" hidden="false" outlineLevel="0" max="4" min="4" style="1" width="18"/>
  </cols>
  <sheetData>
    <row r="2" customFormat="false" ht="25.5" hidden="false" customHeight="true" outlineLevel="0" collapsed="false">
      <c r="B2" s="157" t="s">
        <v>741</v>
      </c>
      <c r="C2" s="157"/>
      <c r="D2" s="157"/>
    </row>
    <row r="3" customFormat="false" ht="15" hidden="false" customHeight="true" outlineLevel="0" collapsed="false">
      <c r="B3" s="100" t="s">
        <v>742</v>
      </c>
      <c r="C3" s="100"/>
      <c r="D3" s="100"/>
    </row>
    <row r="5" customFormat="false" ht="21.75" hidden="false" customHeight="true" outlineLevel="0" collapsed="false">
      <c r="B5" s="158" t="s">
        <v>743</v>
      </c>
      <c r="C5" s="158"/>
      <c r="D5" s="158"/>
    </row>
    <row r="6" customFormat="false" ht="97.5" hidden="false" customHeight="true" outlineLevel="0" collapsed="false">
      <c r="B6" s="5" t="s">
        <v>744</v>
      </c>
      <c r="C6" s="27" t="s">
        <v>745</v>
      </c>
    </row>
    <row r="8" customFormat="false" ht="21.75" hidden="false" customHeight="true" outlineLevel="0" collapsed="false">
      <c r="B8" s="159" t="s">
        <v>746</v>
      </c>
      <c r="C8" s="159"/>
      <c r="D8" s="159"/>
    </row>
    <row r="9" customFormat="false" ht="84" hidden="false" customHeight="true" outlineLevel="0" collapsed="false">
      <c r="B9" s="5" t="s">
        <v>747</v>
      </c>
      <c r="C9" s="27" t="s">
        <v>748</v>
      </c>
    </row>
    <row r="11" customFormat="false" ht="84" hidden="false" customHeight="true" outlineLevel="0" collapsed="false">
      <c r="B11" s="5" t="s">
        <v>749</v>
      </c>
      <c r="C11" s="27" t="s">
        <v>750</v>
      </c>
    </row>
    <row r="13" customFormat="false" ht="84" hidden="false" customHeight="true" outlineLevel="0" collapsed="false">
      <c r="B13" s="5" t="s">
        <v>751</v>
      </c>
      <c r="C13" s="27" t="s">
        <v>752</v>
      </c>
    </row>
    <row r="15" customFormat="false" ht="21.75" hidden="false" customHeight="true" outlineLevel="0" collapsed="false">
      <c r="B15" s="158" t="s">
        <v>753</v>
      </c>
      <c r="C15" s="158"/>
      <c r="D15" s="158"/>
    </row>
    <row r="16" customFormat="false" ht="15" hidden="false" customHeight="true" outlineLevel="0" collapsed="false">
      <c r="B16" s="160" t="s">
        <v>754</v>
      </c>
      <c r="C16" s="160" t="s">
        <v>755</v>
      </c>
      <c r="D16" s="160" t="s">
        <v>756</v>
      </c>
    </row>
    <row r="17" customFormat="false" ht="42" hidden="false" customHeight="true" outlineLevel="0" collapsed="false">
      <c r="B17" s="161" t="s">
        <v>757</v>
      </c>
      <c r="C17" s="162" t="s">
        <v>758</v>
      </c>
      <c r="D17" s="162" t="s">
        <v>759</v>
      </c>
    </row>
    <row r="18" customFormat="false" ht="42" hidden="false" customHeight="true" outlineLevel="0" collapsed="false">
      <c r="B18" s="5" t="s">
        <v>760</v>
      </c>
      <c r="C18" s="27" t="s">
        <v>761</v>
      </c>
      <c r="D18" s="27" t="s">
        <v>762</v>
      </c>
    </row>
    <row r="19" customFormat="false" ht="42" hidden="false" customHeight="true" outlineLevel="0" collapsed="false">
      <c r="B19" s="163" t="s">
        <v>763</v>
      </c>
      <c r="C19" s="164" t="s">
        <v>764</v>
      </c>
      <c r="D19" s="164" t="s">
        <v>765</v>
      </c>
    </row>
    <row r="20" customFormat="false" ht="42" hidden="false" customHeight="true" outlineLevel="0" collapsed="false">
      <c r="B20" s="165" t="s">
        <v>766</v>
      </c>
      <c r="C20" s="166" t="s">
        <v>767</v>
      </c>
      <c r="D20" s="166" t="s">
        <v>768</v>
      </c>
    </row>
    <row r="22" customFormat="false" ht="21.75" hidden="false" customHeight="true" outlineLevel="0" collapsed="false">
      <c r="B22" s="158" t="s">
        <v>769</v>
      </c>
      <c r="C22" s="158"/>
      <c r="D22" s="158"/>
    </row>
    <row r="23" customFormat="false" ht="37.5" hidden="false" customHeight="true" outlineLevel="0" collapsed="false">
      <c r="B23" s="27" t="s">
        <v>770</v>
      </c>
      <c r="C23" s="6" t="s">
        <v>771</v>
      </c>
    </row>
    <row r="24" customFormat="false" ht="37.5" hidden="false" customHeight="true" outlineLevel="0" collapsed="false">
      <c r="B24" s="27" t="s">
        <v>772</v>
      </c>
      <c r="C24" s="6" t="s">
        <v>773</v>
      </c>
    </row>
    <row r="25" customFormat="false" ht="37.5" hidden="false" customHeight="true" outlineLevel="0" collapsed="false">
      <c r="B25" s="27" t="s">
        <v>774</v>
      </c>
      <c r="C25" s="27" t="s">
        <v>775</v>
      </c>
    </row>
    <row r="26" customFormat="false" ht="37.5" hidden="false" customHeight="true" outlineLevel="0" collapsed="false">
      <c r="B26" s="27" t="s">
        <v>776</v>
      </c>
      <c r="C26" s="27" t="s">
        <v>777</v>
      </c>
    </row>
    <row r="27" customFormat="false" ht="37.5" hidden="false" customHeight="true" outlineLevel="0" collapsed="false">
      <c r="B27" s="27" t="s">
        <v>778</v>
      </c>
      <c r="C27" s="6" t="s">
        <v>779</v>
      </c>
    </row>
    <row r="28" customFormat="false" ht="37.5" hidden="false" customHeight="true" outlineLevel="0" collapsed="false">
      <c r="B28" s="27" t="s">
        <v>780</v>
      </c>
      <c r="C28" s="6" t="s">
        <v>781</v>
      </c>
    </row>
    <row r="30" customFormat="false" ht="21.75" hidden="false" customHeight="true" outlineLevel="0" collapsed="false">
      <c r="B30" s="158" t="s">
        <v>782</v>
      </c>
      <c r="C30" s="158"/>
      <c r="D30" s="158"/>
    </row>
    <row r="31" customFormat="false" ht="15" hidden="false" customHeight="true" outlineLevel="0" collapsed="false">
      <c r="B31" s="167" t="s">
        <v>783</v>
      </c>
      <c r="C31" s="167" t="s">
        <v>784</v>
      </c>
    </row>
    <row r="32" customFormat="false" ht="33.75" hidden="false" customHeight="true" outlineLevel="0" collapsed="false">
      <c r="B32" s="27" t="s">
        <v>785</v>
      </c>
      <c r="C32" s="6" t="s">
        <v>786</v>
      </c>
    </row>
    <row r="33" customFormat="false" ht="33.75" hidden="false" customHeight="true" outlineLevel="0" collapsed="false">
      <c r="B33" s="27" t="s">
        <v>787</v>
      </c>
      <c r="C33" s="27" t="s">
        <v>788</v>
      </c>
    </row>
    <row r="34" customFormat="false" ht="33.75" hidden="false" customHeight="true" outlineLevel="0" collapsed="false">
      <c r="B34" s="27" t="s">
        <v>789</v>
      </c>
      <c r="C34" s="27" t="s">
        <v>790</v>
      </c>
    </row>
    <row r="35" customFormat="false" ht="33.75" hidden="false" customHeight="true" outlineLevel="0" collapsed="false">
      <c r="B35" s="27" t="s">
        <v>791</v>
      </c>
      <c r="C35" s="27" t="s">
        <v>792</v>
      </c>
    </row>
    <row r="36" customFormat="false" ht="33.75" hidden="false" customHeight="true" outlineLevel="0" collapsed="false">
      <c r="B36" s="27" t="s">
        <v>793</v>
      </c>
      <c r="C36" s="27" t="s">
        <v>794</v>
      </c>
    </row>
    <row r="37" customFormat="false" ht="33.75" hidden="false" customHeight="true" outlineLevel="0" collapsed="false">
      <c r="B37" s="27" t="s">
        <v>795</v>
      </c>
      <c r="C37" s="6" t="s">
        <v>796</v>
      </c>
    </row>
    <row r="38" customFormat="false" ht="33.75" hidden="false" customHeight="true" outlineLevel="0" collapsed="false">
      <c r="B38" s="27" t="s">
        <v>797</v>
      </c>
      <c r="C38" s="6" t="s">
        <v>798</v>
      </c>
    </row>
    <row r="39" customFormat="false" ht="33.75" hidden="false" customHeight="true" outlineLevel="0" collapsed="false">
      <c r="B39" s="27" t="s">
        <v>799</v>
      </c>
      <c r="C39" s="6" t="s">
        <v>800</v>
      </c>
    </row>
    <row r="41" customFormat="false" ht="21.75" hidden="false" customHeight="true" outlineLevel="0" collapsed="false">
      <c r="B41" s="158" t="s">
        <v>801</v>
      </c>
      <c r="C41" s="158"/>
      <c r="D41" s="158"/>
    </row>
    <row r="42" customFormat="false" ht="55.5" hidden="false" customHeight="true" outlineLevel="0" collapsed="false">
      <c r="B42" s="5" t="s">
        <v>802</v>
      </c>
      <c r="C42" s="27" t="s">
        <v>803</v>
      </c>
    </row>
    <row r="43" customFormat="false" ht="55.5" hidden="false" customHeight="true" outlineLevel="0" collapsed="false">
      <c r="B43" s="5" t="s">
        <v>804</v>
      </c>
      <c r="C43" s="27" t="s">
        <v>805</v>
      </c>
    </row>
    <row r="44" customFormat="false" ht="42" hidden="false" customHeight="true" outlineLevel="0" collapsed="false">
      <c r="B44" s="5" t="s">
        <v>806</v>
      </c>
      <c r="C44" s="27" t="s">
        <v>807</v>
      </c>
    </row>
  </sheetData>
  <mergeCells count="8">
    <mergeCell ref="B2:D2"/>
    <mergeCell ref="B3:D3"/>
    <mergeCell ref="B5:D5"/>
    <mergeCell ref="B8:D8"/>
    <mergeCell ref="B15:D15"/>
    <mergeCell ref="B22:D22"/>
    <mergeCell ref="B30:D30"/>
    <mergeCell ref="B41:D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2"/>
    <col collapsed="false" customWidth="true" hidden="false" outlineLevel="0" max="3" min="3" style="1" width="18"/>
    <col collapsed="false" customWidth="true" hidden="false" outlineLevel="0" max="4" min="4" style="1" width="60"/>
    <col collapsed="false" customWidth="true" hidden="false" outlineLevel="0" max="5" min="5" style="1" width="55"/>
  </cols>
  <sheetData>
    <row r="2" customFormat="false" ht="25.5" hidden="false" customHeight="true" outlineLevel="0" collapsed="false">
      <c r="B2" s="168" t="s">
        <v>808</v>
      </c>
      <c r="C2" s="168"/>
      <c r="D2" s="168"/>
      <c r="E2" s="168"/>
    </row>
    <row r="3" customFormat="false" ht="15" hidden="false" customHeight="true" outlineLevel="0" collapsed="false">
      <c r="B3" s="169" t="s">
        <v>809</v>
      </c>
      <c r="C3" s="169"/>
      <c r="D3" s="169"/>
      <c r="E3" s="169"/>
    </row>
    <row r="5" customFormat="false" ht="21.75" hidden="false" customHeight="true" outlineLevel="0" collapsed="false">
      <c r="B5" s="158" t="s">
        <v>810</v>
      </c>
      <c r="C5" s="158"/>
      <c r="D5" s="158"/>
      <c r="E5" s="158"/>
    </row>
    <row r="6" customFormat="false" ht="15" hidden="false" customHeight="true" outlineLevel="0" collapsed="false">
      <c r="B6" s="160" t="s">
        <v>811</v>
      </c>
      <c r="C6" s="160" t="s">
        <v>812</v>
      </c>
      <c r="D6" s="160" t="s">
        <v>813</v>
      </c>
      <c r="E6" s="160" t="s">
        <v>814</v>
      </c>
    </row>
    <row r="7" customFormat="false" ht="30" hidden="false" customHeight="true" outlineLevel="0" collapsed="false">
      <c r="B7" s="6" t="s">
        <v>815</v>
      </c>
      <c r="C7" s="31" t="s">
        <v>816</v>
      </c>
      <c r="D7" s="27" t="s">
        <v>817</v>
      </c>
      <c r="E7" s="170" t="s">
        <v>818</v>
      </c>
    </row>
    <row r="8" customFormat="false" ht="30" hidden="false" customHeight="true" outlineLevel="0" collapsed="false">
      <c r="B8" s="6" t="s">
        <v>819</v>
      </c>
      <c r="C8" s="31" t="s">
        <v>820</v>
      </c>
      <c r="D8" s="27" t="s">
        <v>817</v>
      </c>
      <c r="E8" s="170" t="s">
        <v>821</v>
      </c>
    </row>
    <row r="9" customFormat="false" ht="30" hidden="false" customHeight="true" outlineLevel="0" collapsed="false">
      <c r="B9" s="6" t="s">
        <v>822</v>
      </c>
      <c r="C9" s="31" t="s">
        <v>823</v>
      </c>
      <c r="D9" s="27" t="s">
        <v>817</v>
      </c>
      <c r="E9" s="170" t="s">
        <v>824</v>
      </c>
    </row>
    <row r="10" customFormat="false" ht="30" hidden="false" customHeight="true" outlineLevel="0" collapsed="false">
      <c r="B10" s="6" t="s">
        <v>825</v>
      </c>
      <c r="C10" s="31" t="s">
        <v>826</v>
      </c>
      <c r="D10" s="27" t="s">
        <v>817</v>
      </c>
      <c r="E10" s="170" t="s">
        <v>827</v>
      </c>
    </row>
    <row r="11" customFormat="false" ht="30" hidden="false" customHeight="true" outlineLevel="0" collapsed="false">
      <c r="B11" s="6" t="s">
        <v>828</v>
      </c>
      <c r="C11" s="31" t="s">
        <v>829</v>
      </c>
      <c r="D11" s="27" t="s">
        <v>817</v>
      </c>
      <c r="E11" s="170" t="s">
        <v>830</v>
      </c>
    </row>
    <row r="12" customFormat="false" ht="30" hidden="false" customHeight="true" outlineLevel="0" collapsed="false">
      <c r="B12" s="6" t="s">
        <v>831</v>
      </c>
      <c r="C12" s="31" t="s">
        <v>832</v>
      </c>
      <c r="D12" s="27" t="s">
        <v>817</v>
      </c>
      <c r="E12" s="170" t="s">
        <v>833</v>
      </c>
    </row>
    <row r="13" customFormat="false" ht="30" hidden="false" customHeight="true" outlineLevel="0" collapsed="false">
      <c r="B13" s="6" t="s">
        <v>834</v>
      </c>
      <c r="C13" s="31" t="s">
        <v>835</v>
      </c>
      <c r="D13" s="27" t="s">
        <v>817</v>
      </c>
      <c r="E13" s="170" t="s">
        <v>836</v>
      </c>
    </row>
    <row r="15" customFormat="false" ht="21.75" hidden="false" customHeight="true" outlineLevel="0" collapsed="false">
      <c r="B15" s="158" t="s">
        <v>837</v>
      </c>
      <c r="C15" s="158"/>
      <c r="D15" s="158"/>
      <c r="E15" s="158"/>
    </row>
    <row r="16" customFormat="false" ht="26.25" hidden="false" customHeight="true" outlineLevel="0" collapsed="false">
      <c r="B16" s="160" t="s">
        <v>838</v>
      </c>
      <c r="C16" s="160" t="s">
        <v>839</v>
      </c>
      <c r="D16" s="160" t="s">
        <v>813</v>
      </c>
      <c r="E16" s="160" t="s">
        <v>814</v>
      </c>
    </row>
    <row r="17" customFormat="false" ht="25.5" hidden="false" customHeight="true" outlineLevel="0" collapsed="false">
      <c r="B17" s="6" t="s">
        <v>840</v>
      </c>
      <c r="C17" s="6" t="s">
        <v>841</v>
      </c>
      <c r="D17" s="27" t="s">
        <v>842</v>
      </c>
      <c r="E17" s="170" t="s">
        <v>843</v>
      </c>
    </row>
    <row r="18" customFormat="false" ht="25.5" hidden="false" customHeight="true" outlineLevel="0" collapsed="false">
      <c r="B18" s="6" t="s">
        <v>844</v>
      </c>
      <c r="C18" s="6" t="s">
        <v>845</v>
      </c>
      <c r="D18" s="171" t="s">
        <v>846</v>
      </c>
      <c r="E18" s="170" t="s">
        <v>847</v>
      </c>
    </row>
    <row r="19" customFormat="false" ht="25.5" hidden="false" customHeight="true" outlineLevel="0" collapsed="false">
      <c r="B19" s="6" t="s">
        <v>848</v>
      </c>
      <c r="C19" s="6" t="s">
        <v>849</v>
      </c>
      <c r="D19" s="27" t="s">
        <v>842</v>
      </c>
      <c r="E19" s="170" t="s">
        <v>850</v>
      </c>
    </row>
    <row r="20" customFormat="false" ht="25.5" hidden="false" customHeight="true" outlineLevel="0" collapsed="false">
      <c r="B20" s="6" t="s">
        <v>851</v>
      </c>
      <c r="C20" s="6" t="s">
        <v>852</v>
      </c>
      <c r="D20" s="27" t="s">
        <v>842</v>
      </c>
      <c r="E20" s="170" t="s">
        <v>853</v>
      </c>
    </row>
    <row r="21" customFormat="false" ht="25.5" hidden="false" customHeight="true" outlineLevel="0" collapsed="false">
      <c r="B21" s="6" t="s">
        <v>854</v>
      </c>
      <c r="C21" s="6" t="s">
        <v>855</v>
      </c>
      <c r="D21" s="171" t="s">
        <v>856</v>
      </c>
      <c r="E21" s="170" t="s">
        <v>857</v>
      </c>
    </row>
    <row r="23" customFormat="false" ht="21.75" hidden="false" customHeight="true" outlineLevel="0" collapsed="false">
      <c r="B23" s="158" t="s">
        <v>858</v>
      </c>
      <c r="C23" s="158"/>
      <c r="D23" s="158"/>
      <c r="E23" s="158"/>
    </row>
    <row r="24" customFormat="false" ht="15" hidden="false" customHeight="true" outlineLevel="0" collapsed="false">
      <c r="B24" s="160" t="s">
        <v>859</v>
      </c>
      <c r="C24" s="160" t="s">
        <v>860</v>
      </c>
      <c r="D24" s="160" t="s">
        <v>813</v>
      </c>
      <c r="E24" s="160" t="s">
        <v>861</v>
      </c>
    </row>
    <row r="25" customFormat="false" ht="25.5" hidden="false" customHeight="true" outlineLevel="0" collapsed="false">
      <c r="B25" s="6" t="s">
        <v>862</v>
      </c>
      <c r="C25" s="6" t="s">
        <v>863</v>
      </c>
      <c r="D25" s="171" t="s">
        <v>864</v>
      </c>
      <c r="E25" s="170" t="s">
        <v>865</v>
      </c>
    </row>
    <row r="26" customFormat="false" ht="25.5" hidden="false" customHeight="true" outlineLevel="0" collapsed="false">
      <c r="B26" s="6" t="s">
        <v>866</v>
      </c>
      <c r="C26" s="6" t="s">
        <v>867</v>
      </c>
      <c r="D26" s="171" t="s">
        <v>868</v>
      </c>
      <c r="E26" s="170" t="s">
        <v>869</v>
      </c>
    </row>
    <row r="27" customFormat="false" ht="25.5" hidden="false" customHeight="true" outlineLevel="0" collapsed="false">
      <c r="B27" s="6" t="s">
        <v>870</v>
      </c>
      <c r="C27" s="6" t="s">
        <v>871</v>
      </c>
      <c r="D27" s="171" t="s">
        <v>872</v>
      </c>
      <c r="E27" s="170" t="s">
        <v>873</v>
      </c>
    </row>
    <row r="28" customFormat="false" ht="25.5" hidden="false" customHeight="true" outlineLevel="0" collapsed="false">
      <c r="B28" s="6" t="s">
        <v>874</v>
      </c>
      <c r="C28" s="6" t="s">
        <v>875</v>
      </c>
      <c r="D28" s="171" t="s">
        <v>876</v>
      </c>
      <c r="E28" s="170" t="s">
        <v>877</v>
      </c>
    </row>
    <row r="30" customFormat="false" ht="21.75" hidden="false" customHeight="true" outlineLevel="0" collapsed="false">
      <c r="B30" s="158" t="s">
        <v>878</v>
      </c>
      <c r="C30" s="158"/>
      <c r="D30" s="158"/>
      <c r="E30" s="158"/>
    </row>
    <row r="31" customFormat="false" ht="15" hidden="false" customHeight="true" outlineLevel="0" collapsed="false">
      <c r="B31" s="160" t="s">
        <v>811</v>
      </c>
      <c r="C31" s="160" t="s">
        <v>812</v>
      </c>
      <c r="D31" s="160" t="s">
        <v>879</v>
      </c>
      <c r="E31" s="160" t="s">
        <v>861</v>
      </c>
    </row>
    <row r="32" customFormat="false" ht="30" hidden="false" customHeight="true" outlineLevel="0" collapsed="false">
      <c r="B32" s="6" t="s">
        <v>880</v>
      </c>
      <c r="C32" s="6" t="s">
        <v>881</v>
      </c>
      <c r="D32" s="6" t="s">
        <v>882</v>
      </c>
      <c r="E32" s="170" t="s">
        <v>883</v>
      </c>
    </row>
    <row r="33" customFormat="false" ht="30" hidden="false" customHeight="true" outlineLevel="0" collapsed="false">
      <c r="B33" s="6" t="s">
        <v>884</v>
      </c>
      <c r="C33" s="6" t="s">
        <v>885</v>
      </c>
      <c r="D33" s="6" t="s">
        <v>886</v>
      </c>
      <c r="E33" s="170" t="s">
        <v>887</v>
      </c>
    </row>
    <row r="35" customFormat="false" ht="21.75" hidden="false" customHeight="true" outlineLevel="0" collapsed="false">
      <c r="B35" s="158" t="s">
        <v>888</v>
      </c>
      <c r="C35" s="158"/>
      <c r="D35" s="158"/>
      <c r="E35" s="158"/>
    </row>
    <row r="36" customFormat="false" ht="39" hidden="false" customHeight="true" outlineLevel="0" collapsed="false">
      <c r="B36" s="46" t="s">
        <v>889</v>
      </c>
      <c r="C36" s="46"/>
      <c r="D36" s="46"/>
      <c r="E36" s="46"/>
    </row>
    <row r="37" customFormat="false" ht="25.5" hidden="false" customHeight="true" outlineLevel="0" collapsed="false">
      <c r="B37" s="46" t="s">
        <v>890</v>
      </c>
      <c r="C37" s="46"/>
      <c r="D37" s="46"/>
      <c r="E37" s="46"/>
    </row>
    <row r="38" customFormat="false" ht="25.5" hidden="false" customHeight="true" outlineLevel="0" collapsed="false">
      <c r="B38" s="46" t="s">
        <v>891</v>
      </c>
      <c r="C38" s="46"/>
      <c r="D38" s="46"/>
      <c r="E38" s="46"/>
    </row>
    <row r="39" customFormat="false" ht="25.5" hidden="false" customHeight="true" outlineLevel="0" collapsed="false">
      <c r="B39" s="46" t="s">
        <v>892</v>
      </c>
      <c r="C39" s="46"/>
      <c r="D39" s="46"/>
      <c r="E39" s="46"/>
    </row>
    <row r="40" customFormat="false" ht="25.5" hidden="false" customHeight="true" outlineLevel="0" collapsed="false">
      <c r="B40" s="46" t="s">
        <v>893</v>
      </c>
      <c r="C40" s="46"/>
      <c r="D40" s="46"/>
      <c r="E40" s="46"/>
    </row>
    <row r="41" customFormat="false" ht="25.5" hidden="false" customHeight="true" outlineLevel="0" collapsed="false">
      <c r="B41" s="46" t="s">
        <v>894</v>
      </c>
      <c r="C41" s="46"/>
      <c r="D41" s="46"/>
      <c r="E41" s="46"/>
    </row>
    <row r="42" customFormat="false" ht="25.5" hidden="false" customHeight="true" outlineLevel="0" collapsed="false">
      <c r="B42" s="46" t="s">
        <v>895</v>
      </c>
      <c r="C42" s="46"/>
      <c r="D42" s="46"/>
      <c r="E42" s="46"/>
    </row>
    <row r="43" customFormat="false" ht="25.5" hidden="false" customHeight="true" outlineLevel="0" collapsed="false">
      <c r="B43" s="46" t="s">
        <v>896</v>
      </c>
      <c r="C43" s="46"/>
      <c r="D43" s="46"/>
      <c r="E43" s="46"/>
    </row>
    <row r="44" customFormat="false" ht="25.5" hidden="false" customHeight="true" outlineLevel="0" collapsed="false">
      <c r="B44" s="46" t="s">
        <v>897</v>
      </c>
      <c r="C44" s="46"/>
      <c r="D44" s="46"/>
      <c r="E44" s="46"/>
    </row>
    <row r="45" customFormat="false" ht="25.5" hidden="false" customHeight="true" outlineLevel="0" collapsed="false">
      <c r="B45" s="46" t="s">
        <v>898</v>
      </c>
      <c r="C45" s="46"/>
      <c r="D45" s="46"/>
      <c r="E45" s="46"/>
    </row>
    <row r="47" customFormat="false" ht="15" hidden="false" customHeight="true" outlineLevel="0" collapsed="false">
      <c r="B47" s="169" t="s">
        <v>899</v>
      </c>
      <c r="C47" s="169"/>
      <c r="D47" s="169"/>
      <c r="E47" s="169"/>
    </row>
  </sheetData>
  <mergeCells count="18">
    <mergeCell ref="B2:E2"/>
    <mergeCell ref="B3:E3"/>
    <mergeCell ref="B5:E5"/>
    <mergeCell ref="B15:E15"/>
    <mergeCell ref="B23:E23"/>
    <mergeCell ref="B30:E30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B47:E47"/>
  </mergeCells>
  <hyperlinks>
    <hyperlink ref="D7" r:id="rId1" display="[URL al filing oficial]"/>
    <hyperlink ref="D8" r:id="rId2" display="[URL al filing oficial]"/>
    <hyperlink ref="D9" r:id="rId3" display="[URL al filing oficial]"/>
    <hyperlink ref="D10" r:id="rId4" display="[URL al filing oficial]"/>
    <hyperlink ref="D11" r:id="rId5" display="[URL al filing oficial]"/>
    <hyperlink ref="D12" r:id="rId6" display="[URL al filing oficial]"/>
    <hyperlink ref="D13" r:id="rId7" display="[URL al filing oficial]"/>
    <hyperlink ref="D17" r:id="rId8" display="[Completar fuente/URL]"/>
    <hyperlink ref="D18" r:id="rId9" display="https://pages.stern.nyu.edu/~adamodar/"/>
    <hyperlink ref="D19" r:id="rId10" display="[Completar fuente/URL]"/>
    <hyperlink ref="D20" r:id="rId11" display="[Completar fuente/URL]"/>
    <hyperlink ref="D21" r:id="rId12" display="https://pages.stern.nyu.edu/~adamodar/New_Home_Page/datafile/Betas.html"/>
    <hyperlink ref="D25" r:id="rId13" display="https://abc.xyz/investor/"/>
    <hyperlink ref="D26" r:id="rId14" display="https://ir.aboutamazon.com/"/>
    <hyperlink ref="D27" r:id="rId15" display="https://investor.oracle.com/"/>
    <hyperlink ref="D28" r:id="rId16" display="https://www.sec.gov/cgi-bin/browse-edgar?action=getcompany&amp;CIK=0001336528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2026-05-17T16:55:37Z</dcterms:created>
  <dc:creator>openpyxl</dc:creator>
  <dc:description/>
  <dc:language>en-US</dc:language>
  <cp:lastModifiedBy/>
  <dcterms:modified xsi:type="dcterms:W3CDTF">2026-05-18T21:33:07Z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