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Hipotesis" sheetId="2" state="visible" r:id="rId4"/>
    <sheet name="Historico" sheetId="3" state="visible" r:id="rId5"/>
    <sheet name="Modelo" sheetId="4" state="visible" r:id="rId6"/>
    <sheet name="DuPont_WC" sheetId="5" state="visible" r:id="rId7"/>
    <sheet name="Reverse_DCF" sheetId="6" state="visible" r:id="rId8"/>
    <sheet name="Fu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FRED DGS10, ~4.32-4.36% semana 4-7 May 2026.
https://fred.stlouisfed.org/series/DGS10</t>
        </r>
      </text>
    </comment>
    <comment ref="D6" authorId="0">
      <text>
        <r>
          <rPr>
            <sz val="10"/>
            <rFont val="Arial"/>
            <family val="2"/>
          </rPr>
          <t xml:space="preserve">Damodaran ERP page. USD ERP ha fluctuado 4.5-5.5% en 2025-2026.</t>
        </r>
      </text>
    </comment>
    <comment ref="D7" authorId="0">
      <text>
        <r>
          <rPr>
            <sz val="10"/>
            <rFont val="Arial"/>
            <family val="2"/>
          </rPr>
          <t xml:space="preserve">Walletinvestor 1.21, TradingView 1.65, Yahoo Finance 5Y monthly ~1.3. Midpoint 1.30.</t>
        </r>
      </text>
    </comment>
    <comment ref="D9" authorId="0">
      <text>
        <r>
          <rPr>
            <sz val="10"/>
            <rFont val="Arial"/>
            <family val="2"/>
          </rPr>
          <t xml:space="preserve">Sept 2025 senior notes pricing. 2031 ~5.4%, 2035 ~5.6%. Midpoint 5.5%.</t>
        </r>
      </text>
    </comment>
    <comment ref="D10" authorId="0">
      <text>
        <r>
          <rPr>
            <sz val="10"/>
            <rFont val="Arial"/>
            <family val="2"/>
          </rPr>
          <t xml:space="preserve">Q4 2025 prepared remarks: Non-GAAP ETR FY2026 22-25%. Cash tax 10-15%.</t>
        </r>
      </text>
    </comment>
    <comment ref="D12" authorId="0">
      <text>
        <r>
          <rPr>
            <sz val="10"/>
            <rFont val="Arial"/>
            <family val="2"/>
          </rPr>
          <t xml:space="preserve">Mkt cap ~$156B / (Mkt cap + LT debt $10.5B) = 94%</t>
        </r>
      </text>
    </comment>
    <comment ref="D15" authorId="0">
      <text>
        <r>
          <rPr>
            <sz val="10"/>
            <rFont val="Arial"/>
            <family val="2"/>
          </rPr>
          <t xml:space="preserve">Conservador. US LT GDP nominal ~3.5-4%. Plataforma madura -&gt; 2.5%.</t>
        </r>
      </text>
    </comment>
    <comment ref="D16" authorId="0">
      <text>
        <r>
          <rPr>
            <sz val="10"/>
            <rFont val="Arial"/>
            <family val="2"/>
          </rPr>
          <t xml:space="preserve">Plataforma madura. Hoy cotiza ~22x trailing pero baja al madurar.</t>
        </r>
      </text>
    </comment>
    <comment ref="D17" authorId="0">
      <text>
        <r>
          <rPr>
            <sz val="10"/>
            <rFont val="Arial"/>
            <family val="2"/>
          </rPr>
          <t xml:space="preserve">EV/EBIT consistente con ~16x EBITDA dado D&amp;A modesto.</t>
        </r>
      </text>
    </comment>
    <comment ref="D40" authorId="0">
      <text>
        <r>
          <rPr>
            <sz val="10"/>
            <rFont val="Arial"/>
            <family val="2"/>
          </rPr>
          <t xml:space="preserve">Damodaran sector data: online tech 4-6x. Asset-light moderado.</t>
        </r>
      </text>
    </comment>
    <comment ref="D41" authorId="0">
      <text>
        <r>
          <rPr>
            <sz val="10"/>
            <rFont val="Arial"/>
            <family val="2"/>
          </rPr>
          <t xml:space="preserve">UBER genera WC negativo (insurance reserves crecen con volumen). Pequeno negativo = source of cash.</t>
        </r>
      </text>
    </comment>
    <comment ref="D46" authorId="0">
      <text>
        <r>
          <rPr>
            <sz val="10"/>
            <rFont val="Arial"/>
            <family val="2"/>
          </rPr>
          <t xml:space="preserve">Q1 2026 8-K. Diluted weighted-avg shares.</t>
        </r>
      </text>
    </comment>
    <comment ref="D52" authorId="0">
      <text>
        <r>
          <rPr>
            <sz val="10"/>
            <rFont val="Arial"/>
            <family val="2"/>
          </rPr>
          <t xml:space="preserve">Q1 2026 Investments line. Mix marketable + non-marketable.</t>
        </r>
      </text>
    </comment>
    <comment ref="D55" authorId="0">
      <text>
        <r>
          <rPr>
            <sz val="10"/>
            <rFont val="Arial"/>
            <family val="2"/>
          </rPr>
          <t xml:space="preserve">NYSE close 8 May 2026.</t>
        </r>
      </text>
    </comment>
    <comment ref="G22" authorId="0">
      <text>
        <r>
          <rPr>
            <sz val="10"/>
            <rFont val="Arial"/>
            <family val="2"/>
          </rPr>
          <t xml:space="preserve">Q1 2026 +20% cc; guide Q2 2026 18-22% cc. Decelera.</t>
        </r>
      </text>
    </comment>
    <comment ref="G23" authorId="0">
      <text>
        <r>
          <rPr>
            <sz val="10"/>
            <rFont val="Arial"/>
            <family val="2"/>
          </rPr>
          <t xml:space="preserve">Cambio UK (merchant-&gt;agency) resta ~350bps sin impacto en profit. Q1 2026 reportado 25.8% (Q1'25 30.7%). Normalizado banda 27-28%.</t>
        </r>
      </text>
    </comment>
    <comment ref="G24" authorId="0">
      <text>
        <r>
          <rPr>
            <sz val="10"/>
            <rFont val="Arial"/>
            <family val="2"/>
          </rPr>
          <t xml:space="preserve">DRIVER PRINCIPAL DE VALOR. Q1 2026 segment Op margin = $2,029/$6,798 = 29.8%. FY2025 ~24.1%.</t>
        </r>
      </text>
    </comment>
    <comment ref="G27" authorId="0">
      <text>
        <r>
          <rPr>
            <sz val="10"/>
            <rFont val="Arial"/>
            <family val="2"/>
          </rPr>
          <t xml:space="preserve">Q1 2026 +23% cc. &gt;$100B run-rate desde Q4 2025.</t>
        </r>
      </text>
    </comment>
    <comment ref="G29" authorId="0">
      <text>
        <r>
          <rPr>
            <sz val="10"/>
            <rFont val="Arial"/>
            <family val="2"/>
          </rPr>
          <t xml:space="preserve">Q1 2026 segment Op margin = $961/$5,068 = 19.0%. Mejorando con publicidad.</t>
        </r>
      </text>
    </comment>
    <comment ref="G34" authorId="0">
      <text>
        <r>
          <rPr>
            <sz val="10"/>
            <rFont val="Arial"/>
            <family val="2"/>
          </rPr>
          <t xml:space="preserve">Q1 2026 -2.2%. Adj EBITDA ya breakeven; Op income aun negativo.</t>
        </r>
      </text>
    </comment>
    <comment ref="G37" authorId="0">
      <text>
        <r>
          <rPr>
            <sz val="10"/>
            <rFont val="Arial"/>
            <family val="2"/>
          </rPr>
          <t xml:space="preserve">Q1 2026 corp cost $1,077M / GB $53,720M = 2.0%. Tesis: bajar a ~1.4% para 2030.</t>
        </r>
      </text>
    </comment>
    <comment ref="G44" authorId="0">
      <text>
        <r>
          <rPr>
            <sz val="10"/>
            <rFont val="Arial"/>
            <family val="2"/>
          </rPr>
          <t xml:space="preserve">Q1 2026 SBC $473M / rev $13,203M = 3.6%. FY2025 ~3.5%. Baja gradualmente.</t>
        </r>
      </text>
    </comment>
    <comment ref="G45" authorId="0">
      <text>
        <r>
          <rPr>
            <sz val="10"/>
            <rFont val="Arial"/>
            <family val="2"/>
          </rPr>
          <t xml:space="preserve">Q1 2026 $3B buyback. Programa $20B aprobado Aug 2025.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4" authorId="0">
      <text>
        <r>
          <rPr>
            <sz val="10"/>
            <rFont val="Arial"/>
            <family val="2"/>
          </rPr>
          <t xml:space="preserve">Approximation. FY2025 AR not yet detailed in summary; using ~7.4% of revenue trend.</t>
        </r>
      </text>
    </comment>
    <comment ref="D56" authorId="0">
      <text>
        <r>
          <rPr>
            <sz val="10"/>
            <rFont val="Arial"/>
            <family val="2"/>
          </rPr>
          <t xml:space="preserve">FY2025 estimated based on ~10% YoY trend.</t>
        </r>
      </text>
    </comment>
    <comment ref="D57" authorId="0">
      <text>
        <r>
          <rPr>
            <sz val="10"/>
            <rFont val="Arial"/>
            <family val="2"/>
          </rPr>
          <t xml:space="preserve">FY2025 estimated.</t>
        </r>
      </text>
    </comment>
    <comment ref="E54" authorId="0">
      <text>
        <r>
          <rPr>
            <sz val="10"/>
            <rFont val="Arial"/>
            <family val="2"/>
          </rPr>
          <t xml:space="preserve">Approximation. FY2025 AR not yet detailed in summary; using ~7.4% of revenue trend.</t>
        </r>
      </text>
    </comment>
    <comment ref="E56" authorId="0">
      <text>
        <r>
          <rPr>
            <sz val="10"/>
            <rFont val="Arial"/>
            <family val="2"/>
          </rPr>
          <t xml:space="preserve">FY2025 estimated based on ~10% YoY trend.</t>
        </r>
      </text>
    </comment>
    <comment ref="E57" authorId="0">
      <text>
        <r>
          <rPr>
            <sz val="10"/>
            <rFont val="Arial"/>
            <family val="2"/>
          </rPr>
          <t xml:space="preserve">FY2025 estimated.</t>
        </r>
      </text>
    </comment>
    <comment ref="F54" authorId="0">
      <text>
        <r>
          <rPr>
            <sz val="10"/>
            <rFont val="Arial"/>
            <family val="2"/>
          </rPr>
          <t xml:space="preserve">Approximation. FY2025 AR not yet detailed in summary; using ~7.4% of revenue trend.</t>
        </r>
      </text>
    </comment>
    <comment ref="F56" authorId="0">
      <text>
        <r>
          <rPr>
            <sz val="10"/>
            <rFont val="Arial"/>
            <family val="2"/>
          </rPr>
          <t xml:space="preserve">FY2025 estimated based on ~10% YoY trend.</t>
        </r>
      </text>
    </comment>
    <comment ref="F57" authorId="0">
      <text>
        <r>
          <rPr>
            <sz val="10"/>
            <rFont val="Arial"/>
            <family val="2"/>
          </rPr>
          <t xml:space="preserve">FY2025 estimated.</t>
        </r>
      </text>
    </comment>
    <comment ref="G54" authorId="0">
      <text>
        <r>
          <rPr>
            <sz val="10"/>
            <rFont val="Arial"/>
            <family val="2"/>
          </rPr>
          <t xml:space="preserve">Approximation. FY2025 AR not yet detailed in summary; using ~7.4% of revenue trend.</t>
        </r>
      </text>
    </comment>
    <comment ref="G56" authorId="0">
      <text>
        <r>
          <rPr>
            <sz val="10"/>
            <rFont val="Arial"/>
            <family val="2"/>
          </rPr>
          <t xml:space="preserve">FY2025 estimated based on ~10% YoY trend.</t>
        </r>
      </text>
    </comment>
    <comment ref="G57" authorId="0">
      <text>
        <r>
          <rPr>
            <sz val="10"/>
            <rFont val="Arial"/>
            <family val="2"/>
          </rPr>
          <t xml:space="preserve">FY2025 estimated.</t>
        </r>
      </text>
    </comment>
    <comment ref="H22" authorId="0">
      <text>
        <r>
          <rPr>
            <sz val="10"/>
            <rFont val="Arial"/>
            <family val="2"/>
          </rPr>
          <t xml:space="preserve">FY2024 incluye $6.4B benefit por valuation allowance release. FY2025 incluye gains en equity investments y tax NOL utilization. Underlying NI ~Op income x (1-T).</t>
        </r>
      </text>
    </comment>
    <comment ref="H54" authorId="0">
      <text>
        <r>
          <rPr>
            <sz val="10"/>
            <rFont val="Arial"/>
            <family val="2"/>
          </rPr>
          <t xml:space="preserve">Approximation. FY2025 AR not yet detailed in summary; using ~7.4% of revenue trend.</t>
        </r>
      </text>
    </comment>
    <comment ref="H56" authorId="0">
      <text>
        <r>
          <rPr>
            <sz val="10"/>
            <rFont val="Arial"/>
            <family val="2"/>
          </rPr>
          <t xml:space="preserve">FY2025 estimated based on ~10% YoY trend.</t>
        </r>
      </text>
    </comment>
    <comment ref="H57" authorId="0">
      <text>
        <r>
          <rPr>
            <sz val="10"/>
            <rFont val="Arial"/>
            <family val="2"/>
          </rPr>
          <t xml:space="preserve">FY2025 estimated.</t>
        </r>
      </text>
    </comment>
    <comment ref="I7" authorId="0">
      <text>
        <r>
          <rPr>
            <sz val="10"/>
            <rFont val="Arial"/>
            <family val="2"/>
          </rPr>
          <t xml:space="preserve">Source: 10-K FY2025 filed Feb 13, 2026 / 10-K FY2024 / FY2023 historical.</t>
        </r>
      </text>
    </comment>
    <comment ref="I22" authorId="0">
      <text>
        <r>
          <rPr>
            <sz val="10"/>
            <rFont val="Arial"/>
            <family val="2"/>
          </rPr>
          <t xml:space="preserve">FY2024 incluye $6.4B benefit por valuation allowance release. FY2025 incluye gains en equity investments y tax NOL utilization. Underlying NI ~Op income x (1-T).</t>
        </r>
      </text>
    </comment>
    <comment ref="I54" authorId="0">
      <text>
        <r>
          <rPr>
            <sz val="10"/>
            <rFont val="Arial"/>
            <family val="2"/>
          </rPr>
          <t xml:space="preserve">Approximation. FY2025 AR not yet detailed in summary; using ~7.4% of revenue trend.</t>
        </r>
      </text>
    </comment>
    <comment ref="I56" authorId="0">
      <text>
        <r>
          <rPr>
            <sz val="10"/>
            <rFont val="Arial"/>
            <family val="2"/>
          </rPr>
          <t xml:space="preserve">FY2025 estimated based on ~10% YoY trend.</t>
        </r>
      </text>
    </comment>
    <comment ref="I57" authorId="0">
      <text>
        <r>
          <rPr>
            <sz val="10"/>
            <rFont val="Arial"/>
            <family val="2"/>
          </rPr>
          <t xml:space="preserve">FY2025 estimated.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4" authorId="0">
      <text>
        <r>
          <rPr>
            <sz val="10"/>
            <rFont val="Arial"/>
            <family val="2"/>
          </rPr>
          <t xml:space="preserve">2024A approx Mobility segment Op margin</t>
        </r>
      </text>
    </comment>
    <comment ref="D25" authorId="0">
      <text>
        <r>
          <rPr>
            <sz val="10"/>
            <rFont val="Arial"/>
            <family val="2"/>
          </rPr>
          <t xml:space="preserve">2024A est</t>
        </r>
      </text>
    </comment>
    <comment ref="D39" authorId="0">
      <text>
        <r>
          <rPr>
            <sz val="10"/>
            <rFont val="Arial"/>
            <family val="2"/>
          </rPr>
          <t xml:space="preserve">2024A: $2,471M / $119,461M</t>
        </r>
      </text>
    </comment>
    <comment ref="D70" authorId="0">
      <text>
        <r>
          <rPr>
            <sz val="10"/>
            <rFont val="Arial"/>
            <family val="2"/>
          </rPr>
          <t xml:space="preserve">FY2024 D&amp;A 663 / 43,978 = 1.51%</t>
        </r>
      </text>
    </comment>
    <comment ref="D101" authorId="0">
      <text>
        <r>
          <rPr>
            <sz val="10"/>
            <rFont val="Arial"/>
            <family val="2"/>
          </rPr>
          <t xml:space="preserve">Crecimiento al final del periodo explicito (~2030)</t>
        </r>
      </text>
    </comment>
    <comment ref="E14" authorId="0">
      <text>
        <r>
          <rPr>
            <sz val="10"/>
            <rFont val="Arial"/>
            <family val="2"/>
          </rPr>
          <t xml:space="preserve">2025A approx (Q4 25 ~24.7%)</t>
        </r>
      </text>
    </comment>
    <comment ref="E25" authorId="0">
      <text>
        <r>
          <rPr>
            <sz val="10"/>
            <rFont val="Arial"/>
            <family val="2"/>
          </rPr>
          <t xml:space="preserve">2025A est. Q4 25 ~21%</t>
        </r>
      </text>
    </comment>
    <comment ref="E39" authorId="0">
      <text>
        <r>
          <rPr>
            <sz val="10"/>
            <rFont val="Arial"/>
            <family val="2"/>
          </rPr>
          <t xml:space="preserve">2025A: $2,708M / $193,454M (incl. R&amp;D platform)</t>
        </r>
      </text>
    </comment>
    <comment ref="E70" authorId="0">
      <text>
        <r>
          <rPr>
            <sz val="10"/>
            <rFont val="Arial"/>
            <family val="2"/>
          </rPr>
          <t xml:space="preserve">FY2025 D&amp;A 712 / 52,017 = 1.37%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3" authorId="0">
      <text>
        <r>
          <rPr>
            <sz val="10"/>
            <rFont val="Arial"/>
            <family val="2"/>
          </rPr>
          <t xml:space="preserve">UBER es marketplace asset-light. No tiene inventario. Confirmar en 10-K Balance Sheet.</t>
        </r>
      </text>
    </comment>
    <comment ref="H12" authorId="0">
      <text>
        <r>
          <rPr>
            <sz val="10"/>
            <rFont val="Arial"/>
            <family val="2"/>
          </rPr>
          <t xml:space="preserve">Includes interest income, equity investment gains, other. Source: 10-K Other Income/Expense Net. FY2024 incl. ~$5B+ tax-related. FY2025 incl. ~$3-4B equity gains.</t>
        </r>
      </text>
    </comment>
    <comment ref="I12" authorId="0">
      <text>
        <r>
          <rPr>
            <sz val="10"/>
            <rFont val="Arial"/>
            <family val="2"/>
          </rPr>
          <t xml:space="preserve">Includes interest income, equity investment gains, other. Source: 10-K Other Income/Expense Net. FY2024 incl. ~$5B+ tax-related. FY2025 incl. ~$3-4B equity gains.</t>
        </r>
      </text>
    </comment>
  </commentList>
</comments>
</file>

<file path=xl/sharedStrings.xml><?xml version="1.0" encoding="utf-8"?>
<sst xmlns="http://schemas.openxmlformats.org/spreadsheetml/2006/main" count="854" uniqueCount="681">
  <si>
    <t xml:space="preserve">  UBER  /  CUADRO DE MANDO  -  RESUMEN EJECUTIVO Y SNAPSHOT</t>
  </si>
  <si>
    <t xml:space="preserve">LEYENDA:</t>
  </si>
  <si>
    <t xml:space="preserve">AZUL+AMARILLO</t>
  </si>
  <si>
    <t xml:space="preserve">Input hardcoded (editable)</t>
  </si>
  <si>
    <t xml:space="preserve">AMARILLO FUERTE</t>
  </si>
  <si>
    <t xml:space="preserve">Input clave (driver de sensibilidad)</t>
  </si>
  <si>
    <t xml:space="preserve">NEGRO</t>
  </si>
  <si>
    <t xml:space="preserve">Formula (calculado)</t>
  </si>
  <si>
    <t xml:space="preserve">VERDE</t>
  </si>
  <si>
    <t xml:space="preserve">Link a otra hoja</t>
  </si>
  <si>
    <t xml:space="preserve">VERDE CLARO</t>
  </si>
  <si>
    <t xml:space="preserve">Resultado / output</t>
  </si>
  <si>
    <t xml:space="preserve">  SNAPSHOT  -  resumen ejecutivo del libro completo</t>
  </si>
  <si>
    <t xml:space="preserve">STOCK / MERCADO</t>
  </si>
  <si>
    <t xml:space="preserve">VALORACION DCF</t>
  </si>
  <si>
    <t xml:space="preserve">OPERATIONS (FY25)</t>
  </si>
  <si>
    <t xml:space="preserve">QUALITY / RETURNS</t>
  </si>
  <si>
    <t xml:space="preserve">Spot ($)</t>
  </si>
  <si>
    <t xml:space="preserve">DCF mediana</t>
  </si>
  <si>
    <t xml:space="preserve">Revenue 2025</t>
  </si>
  <si>
    <t xml:space="preserve">ROIC operativo'25</t>
  </si>
  <si>
    <t xml:space="preserve">Market Cap ($M)</t>
  </si>
  <si>
    <t xml:space="preserve">DCF promedio</t>
  </si>
  <si>
    <t xml:space="preserve">EBIT 2025</t>
  </si>
  <si>
    <t xml:space="preserve">EBIT margin '25</t>
  </si>
  <si>
    <t xml:space="preserve">Enterprise Value</t>
  </si>
  <si>
    <t xml:space="preserve">Upside vs spot</t>
  </si>
  <si>
    <t xml:space="preserve">Adj EBITDA 2025</t>
  </si>
  <si>
    <t xml:space="preserve">FCF margin '25</t>
  </si>
  <si>
    <t xml:space="preserve">52w range ($)</t>
  </si>
  <si>
    <t xml:space="preserve">$68.46 - $101.99</t>
  </si>
  <si>
    <t xml:space="preserve">EV/EBITDA NTM</t>
  </si>
  <si>
    <t xml:space="preserve">FCF 2025</t>
  </si>
  <si>
    <t xml:space="preserve">NWC 2025 ($M)</t>
  </si>
  <si>
    <t xml:space="preserve">Acciones dil. (k)</t>
  </si>
  <si>
    <t xml:space="preserve">EV/EBIT NTM</t>
  </si>
  <si>
    <t xml:space="preserve">Q1'26 Revenue</t>
  </si>
  <si>
    <t xml:space="preserve">Insurance res. '25</t>
  </si>
  <si>
    <t xml:space="preserve">Tesis:</t>
  </si>
  <si>
    <t xml:space="preserve">"Scale Efficiency over Monetization Aggression" - depende de Mobility margin, no de take-rate heroics</t>
  </si>
  <si>
    <t xml:space="preserve">Critico Q1'26:</t>
  </si>
  <si>
    <t xml:space="preserve">Take rate Mobility paso 30.7% -&gt; 25.8% por cambio UK (merchant-&gt;agency); ~9pp del cambio es contable</t>
  </si>
  <si>
    <t xml:space="preserve">  1. Q1 2026 HIGHLIGHTS  (8-K filed May 6, 2026)</t>
  </si>
  <si>
    <t xml:space="preserve">Total Gross Bookings</t>
  </si>
  <si>
    <t xml:space="preserve">+18% YoY cc</t>
  </si>
  <si>
    <t xml:space="preserve">Total Revenue</t>
  </si>
  <si>
    <t xml:space="preserve">+21% YoY cc</t>
  </si>
  <si>
    <t xml:space="preserve">GAAP Operating Income</t>
  </si>
  <si>
    <t xml:space="preserve">+105% YoY</t>
  </si>
  <si>
    <t xml:space="preserve">Adj EBITDA</t>
  </si>
  <si>
    <t xml:space="preserve">+24% YoY</t>
  </si>
  <si>
    <t xml:space="preserve">Non-GAAP Operating Income</t>
  </si>
  <si>
    <t xml:space="preserve">Nueva metrica primaria</t>
  </si>
  <si>
    <t xml:space="preserve">Free Cash Flow</t>
  </si>
  <si>
    <t xml:space="preserve">+44% YoY</t>
  </si>
  <si>
    <t xml:space="preserve">Mobility - Gross Bookings</t>
  </si>
  <si>
    <t xml:space="preserve">+25% YoY cc</t>
  </si>
  <si>
    <t xml:space="preserve">Mobility - Revenue</t>
  </si>
  <si>
    <t xml:space="preserve">+5% YoY (UK accounting -9pp)</t>
  </si>
  <si>
    <t xml:space="preserve">Mobility - Segment Op Income</t>
  </si>
  <si>
    <t xml:space="preserve">+28% YoY</t>
  </si>
  <si>
    <t xml:space="preserve">Delivery - Gross Bookings</t>
  </si>
  <si>
    <t xml:space="preserve">+23% YoY cc</t>
  </si>
  <si>
    <t xml:space="preserve">Delivery - Revenue</t>
  </si>
  <si>
    <t xml:space="preserve">+25% YoY</t>
  </si>
  <si>
    <t xml:space="preserve">Delivery - Segment Op Income</t>
  </si>
  <si>
    <t xml:space="preserve">+43% YoY</t>
  </si>
  <si>
    <t xml:space="preserve">Freight - Revenue</t>
  </si>
  <si>
    <t xml:space="preserve">+6% YoY</t>
  </si>
  <si>
    <t xml:space="preserve">Buybacks (capital returned)</t>
  </si>
  <si>
    <t xml:space="preserve">$20B program total</t>
  </si>
  <si>
    <t xml:space="preserve">  2. HISTORIA FINANCIERA  (5 anos)</t>
  </si>
  <si>
    <t xml:space="preserve">2021A</t>
  </si>
  <si>
    <t xml:space="preserve">2022A</t>
  </si>
  <si>
    <t xml:space="preserve">2023A</t>
  </si>
  <si>
    <t xml:space="preserve">2024A</t>
  </si>
  <si>
    <t xml:space="preserve">2025A</t>
  </si>
  <si>
    <t xml:space="preserve">Revenue ($M)</t>
  </si>
  <si>
    <t xml:space="preserve">  YoY %</t>
  </si>
  <si>
    <t xml:space="preserve">Adj EBITDA ($M)</t>
  </si>
  <si>
    <t xml:space="preserve">  Adj EBITDA margin</t>
  </si>
  <si>
    <t xml:space="preserve">FCF ($M)</t>
  </si>
  <si>
    <t xml:space="preserve">  FCF margin</t>
  </si>
  <si>
    <t xml:space="preserve">Total Assets ($M)</t>
  </si>
  <si>
    <t xml:space="preserve">Total Equity ($M)</t>
  </si>
  <si>
    <t xml:space="preserve">LT Debt ($M)</t>
  </si>
  <si>
    <t xml:space="preserve">Diluted shares (k)</t>
  </si>
  <si>
    <t xml:space="preserve">  3. MULTIPLOS DE NEGOCIACION  (current)</t>
  </si>
  <si>
    <t xml:space="preserve">EV / Revenue (NTM 2026E)</t>
  </si>
  <si>
    <t xml:space="preserve">EV / EBITDA (NTM 2026E)</t>
  </si>
  <si>
    <t xml:space="preserve">EV / EBIT (NTM 2026E)</t>
  </si>
  <si>
    <t xml:space="preserve">EV / FCFF (NTM 2026E)</t>
  </si>
  <si>
    <t xml:space="preserve">EV / GB (NTM 2026E)</t>
  </si>
  <si>
    <t xml:space="preserve">P / FCF (LTM 2025A)</t>
  </si>
  <si>
    <t xml:space="preserve">  4. PRECIOS IMPLICITOS  (todos los metodos)</t>
  </si>
  <si>
    <t xml:space="preserve">Metodo</t>
  </si>
  <si>
    <t xml:space="preserve">Precio impl.</t>
  </si>
  <si>
    <t xml:space="preserve">Upside</t>
  </si>
  <si>
    <t xml:space="preserve">Comentario</t>
  </si>
  <si>
    <t xml:space="preserve">DCF Gordon Growth</t>
  </si>
  <si>
    <t xml:space="preserve">Perpetuidad estandar</t>
  </si>
  <si>
    <t xml:space="preserve">DCF H-Model</t>
  </si>
  <si>
    <t xml:space="preserve">Crecimiento decadente</t>
  </si>
  <si>
    <t xml:space="preserve">DCF Exit Multiple EV/EBITDA</t>
  </si>
  <si>
    <t xml:space="preserve">Salida 16x EBITDA</t>
  </si>
  <si>
    <t xml:space="preserve">DCF Exit Multiple EV/EBIT</t>
  </si>
  <si>
    <t xml:space="preserve">Salida 18x EBIT</t>
  </si>
  <si>
    <t xml:space="preserve">DCF Promedio (4 metodos)</t>
  </si>
  <si>
    <t xml:space="preserve">Punto medio razonable</t>
  </si>
  <si>
    <t xml:space="preserve">PROMEDIO (5 metodos)</t>
  </si>
  <si>
    <t xml:space="preserve">MEDIANA</t>
  </si>
  <si>
    <t xml:space="preserve">MIN / MAX</t>
  </si>
  <si>
    <t xml:space="preserve">  Rango de referencia analistas:</t>
  </si>
  <si>
    <t xml:space="preserve">Bear case</t>
  </si>
  <si>
    <t xml:space="preserve">$62 - $70</t>
  </si>
  <si>
    <t xml:space="preserve">Base case</t>
  </si>
  <si>
    <t xml:space="preserve">$84 - $96</t>
  </si>
  <si>
    <t xml:space="preserve">Bull case</t>
  </si>
  <si>
    <t xml:space="preserve">$102 - $118</t>
  </si>
  <si>
    <t xml:space="preserve">Centro consenso (May 2026)</t>
  </si>
  <si>
    <t xml:space="preserve">$88 - $92  (analyst PT ~$104)</t>
  </si>
  <si>
    <t xml:space="preserve">  5. DRIVERS CLAVE  (modificar en hoja HIPOTESIS)</t>
  </si>
  <si>
    <t xml:space="preserve">Driver</t>
  </si>
  <si>
    <t xml:space="preserve">2026E</t>
  </si>
  <si>
    <t xml:space="preserve">2030E</t>
  </si>
  <si>
    <t xml:space="preserve">Mobility GB growth</t>
  </si>
  <si>
    <t xml:space="preserve">Driver de actividad core</t>
  </si>
  <si>
    <t xml:space="preserve">Mobility Take Rate</t>
  </si>
  <si>
    <t xml:space="preserve">Q1 26 reportado 25.8% (UK -9pp); normalizado ~27-28%</t>
  </si>
  <si>
    <t xml:space="preserve">Mobility Op Margin</t>
  </si>
  <si>
    <t xml:space="preserve">* DRIVER PRINCIPAL DE VALOR (Sens A en Modelo)</t>
  </si>
  <si>
    <t xml:space="preserve">Delivery Op Margin</t>
  </si>
  <si>
    <t xml:space="preserve">Mejorando con publicidad</t>
  </si>
  <si>
    <t xml:space="preserve">Corporate overhead (% GB)</t>
  </si>
  <si>
    <t xml:space="preserve">* Overhead dilution lever (Sens D)</t>
  </si>
  <si>
    <t xml:space="preserve">Sales-to-Capital</t>
  </si>
  <si>
    <t xml:space="preserve">5x asset-light moderado (Sens F)</t>
  </si>
  <si>
    <t xml:space="preserve">SBC % rev</t>
  </si>
  <si>
    <t xml:space="preserve">Q1 26 = 3.6% rev</t>
  </si>
  <si>
    <t xml:space="preserve">Net buyback %</t>
  </si>
  <si>
    <t xml:space="preserve">Programa $20B activo</t>
  </si>
  <si>
    <t xml:space="preserve">WACC</t>
  </si>
  <si>
    <t xml:space="preserve">Ke 10.85% + Kd post-tax 4.29%</t>
  </si>
  <si>
    <t xml:space="preserve">Crecimiento perpetuo (g)</t>
  </si>
  <si>
    <t xml:space="preserve">Conservador vs LT GDP nominal ~3.5-4%</t>
  </si>
  <si>
    <t xml:space="preserve">Exit Multiple EV/EBITDA</t>
  </si>
  <si>
    <t xml:space="preserve">16x plataforma madura</t>
  </si>
  <si>
    <t xml:space="preserve">Exit Multiple EV/EBIT</t>
  </si>
  <si>
    <t xml:space="preserve">18x consistente con 16x EBITDA</t>
  </si>
  <si>
    <t xml:space="preserve">  6. TESIS DE VALORACION</t>
  </si>
  <si>
    <t xml:space="preserve">"Scale Efficiency over Monetization Aggression"</t>
  </si>
  <si>
    <t xml:space="preserve">El caso funciona si UBER:</t>
  </si>
  <si>
    <t xml:space="preserve">  1. Mantiene posicion como demand aggregator asset-light</t>
  </si>
  <si>
    <t xml:space="preserve">  2. Convierte escala en operating leverage (Mobility margin sube)</t>
  </si>
  <si>
    <t xml:space="preserve">  3. Diluye overhead corporativo con escala (corporate % GB baja)</t>
  </si>
  <si>
    <t xml:space="preserve">  4. Disciplina en reinversion (S2C alto, capex razonable)</t>
  </si>
  <si>
    <t xml:space="preserve">  5. Captura valor por accion (buybacks netos &gt; SBC)</t>
  </si>
  <si>
    <t xml:space="preserve">Lo que ROMPE la tesis:</t>
  </si>
  <si>
    <t xml:space="preserve">  - Mobility margin no expande mas alla del actual ~24-25%</t>
  </si>
  <si>
    <t xml:space="preserve">  - Take rate normalizado queda plano (no aparece operating leverage)</t>
  </si>
  <si>
    <t xml:space="preserve">  - Reinversion sale mas pesada de lo esperado (S2C colapsa)</t>
  </si>
  <si>
    <t xml:space="preserve">  - SBC y dilucion siguen altos; buybacks no compensan</t>
  </si>
  <si>
    <t xml:space="preserve">  - Overhead no diluye con escala</t>
  </si>
  <si>
    <t xml:space="preserve">Chart helper data:</t>
  </si>
  <si>
    <t xml:space="preserve">2020A</t>
  </si>
  <si>
    <t xml:space="preserve">Revenue</t>
  </si>
  <si>
    <t xml:space="preserve">OCF</t>
  </si>
  <si>
    <t xml:space="preserve">FCF</t>
  </si>
  <si>
    <t xml:space="preserve">Mobility GB</t>
  </si>
  <si>
    <t xml:space="preserve">Delivery GB</t>
  </si>
  <si>
    <t xml:space="preserve">Freight GB</t>
  </si>
  <si>
    <t xml:space="preserve">ROE GAAP</t>
  </si>
  <si>
    <t xml:space="preserve">ROIC operativo</t>
  </si>
  <si>
    <t xml:space="preserve">Implied prices helper:</t>
  </si>
  <si>
    <t xml:space="preserve">Method</t>
  </si>
  <si>
    <t xml:space="preserve">Precio</t>
  </si>
  <si>
    <t xml:space="preserve">Spot</t>
  </si>
  <si>
    <t xml:space="preserve">Gordon</t>
  </si>
  <si>
    <t xml:space="preserve">H-Model</t>
  </si>
  <si>
    <t xml:space="preserve">EV/EBITDA</t>
  </si>
  <si>
    <t xml:space="preserve">EV/EBIT</t>
  </si>
  <si>
    <t xml:space="preserve">Promedio</t>
  </si>
  <si>
    <t xml:space="preserve">  HIPOTESIS DEL MODELO  /  Inputs y Drivers</t>
  </si>
  <si>
    <t xml:space="preserve">  1. TASA DE DESCUENTO (WACC)</t>
  </si>
  <si>
    <t xml:space="preserve">Tasa libre de riesgo (10Y UST yield)</t>
  </si>
  <si>
    <t xml:space="preserve">Equity Risk Premium (ERP)</t>
  </si>
  <si>
    <t xml:space="preserve">Beta apalancado (5Y)</t>
  </si>
  <si>
    <t xml:space="preserve">Coste del Equity (Ke = Rf + Beta x ERP)</t>
  </si>
  <si>
    <t xml:space="preserve">Coste de deuda pre-impuestos (Kd)</t>
  </si>
  <si>
    <t xml:space="preserve">Tipo impositivo efectivo (Non-GAAP)</t>
  </si>
  <si>
    <t xml:space="preserve">Kd post-impuestos = Kd x (1-T)</t>
  </si>
  <si>
    <t xml:space="preserve">Peso del Equity (E/EV)</t>
  </si>
  <si>
    <t xml:space="preserve">Peso de Deuda (D/EV)</t>
  </si>
  <si>
    <t xml:space="preserve">Tasa de crecimiento perpetuo (g)</t>
  </si>
  <si>
    <t xml:space="preserve">Multiplo EV/EBITDA salida</t>
  </si>
  <si>
    <t xml:space="preserve">Multiplo EV/EBIT salida</t>
  </si>
  <si>
    <t xml:space="preserve">2027E</t>
  </si>
  <si>
    <t xml:space="preserve">2028E</t>
  </si>
  <si>
    <t xml:space="preserve">2029E</t>
  </si>
  <si>
    <t xml:space="preserve">  2. MOBILITY  (driver principal del valor)</t>
  </si>
  <si>
    <t xml:space="preserve">GB growth (% YoY)</t>
  </si>
  <si>
    <t xml:space="preserve">Take Rate (Revenue / GB)</t>
  </si>
  <si>
    <t xml:space="preserve">Margen Op. de Mobility (% revenue)</t>
  </si>
  <si>
    <t xml:space="preserve">  3. DELIVERY  (bloque secundario)</t>
  </si>
  <si>
    <t xml:space="preserve">Take Rate</t>
  </si>
  <si>
    <t xml:space="preserve">Margen Op. de Delivery (% revenue)</t>
  </si>
  <si>
    <t xml:space="preserve">  4. FREIGHT  (modelar conservador)</t>
  </si>
  <si>
    <t xml:space="preserve">Take Rate (~100%)</t>
  </si>
  <si>
    <t xml:space="preserve">Margen Op. de Freight (% revenue)</t>
  </si>
  <si>
    <t xml:space="preserve">  5. CORPORATE OVERHEAD  (driver de overhead dilution)</t>
  </si>
  <si>
    <t xml:space="preserve">Corporate cost (% Gross Bookings)</t>
  </si>
  <si>
    <t xml:space="preserve">  6. REINVERSION</t>
  </si>
  <si>
    <t xml:space="preserve">Sales-to-Capital ratio</t>
  </si>
  <si>
    <t xml:space="preserve">ΔWC / ΔRevenue</t>
  </si>
  <si>
    <t xml:space="preserve">  7. CAPTURA POR ACCION</t>
  </si>
  <si>
    <t xml:space="preserve">SBC % revenue</t>
  </si>
  <si>
    <t xml:space="preserve">Buyback neto (% acciones anual)</t>
  </si>
  <si>
    <t xml:space="preserve">Acciones diluidas iniciales (k)</t>
  </si>
  <si>
    <t xml:space="preserve">  8. BALANCE SHEET (Q1 2026, $M)</t>
  </si>
  <si>
    <t xml:space="preserve">Cash + equivalents</t>
  </si>
  <si>
    <t xml:space="preserve">Short-term investments</t>
  </si>
  <si>
    <t xml:space="preserve">Long-term debt</t>
  </si>
  <si>
    <t xml:space="preserve">Equity stakes (Aurora, Grab, Didi, Lucid, etc.)</t>
  </si>
  <si>
    <t xml:space="preserve">Equity method investments</t>
  </si>
  <si>
    <t xml:space="preserve">Non-controlling interests</t>
  </si>
  <si>
    <t xml:space="preserve">Precio actual por accion ($)</t>
  </si>
  <si>
    <t xml:space="preserve">  9. INDICE DE INPUTS HARDCODED  (mantenimiento)</t>
  </si>
  <si>
    <t xml:space="preserve">Todos los inputs editables estan en esta hoja, identificados por color azul + amarillo.</t>
  </si>
  <si>
    <t xml:space="preserve">Para actualizar el modelo: cambia solo aqui. El resto recalcula automaticamente.</t>
  </si>
  <si>
    <t xml:space="preserve">Inputs HARDCODED en otras hojas (deben mantenerse aqui idealmente):</t>
  </si>
  <si>
    <t xml:space="preserve">  - Historico: cifras anuales 2020-2025 (publicadas SEC)</t>
  </si>
  <si>
    <t xml:space="preserve">  HISTORICO 2020-2025  /  fuente: SEC 10-K, 8-K, 10-Q</t>
  </si>
  <si>
    <t xml:space="preserve">  INCOME STATEMENT  ($M, source: 10-K)</t>
  </si>
  <si>
    <t xml:space="preserve">  YoY growth %</t>
  </si>
  <si>
    <t xml:space="preserve">Cost of revenue (excl. D&amp;A)</t>
  </si>
  <si>
    <t xml:space="preserve">Operations and support</t>
  </si>
  <si>
    <t xml:space="preserve">Sales and marketing</t>
  </si>
  <si>
    <t xml:space="preserve">Research and development</t>
  </si>
  <si>
    <t xml:space="preserve">General and administrative</t>
  </si>
  <si>
    <t xml:space="preserve">Depreciation and amortization</t>
  </si>
  <si>
    <t xml:space="preserve">GAAP Income from Operations</t>
  </si>
  <si>
    <t xml:space="preserve">  GAAP Op margin %</t>
  </si>
  <si>
    <t xml:space="preserve">Stock-based compensation (memo)</t>
  </si>
  <si>
    <t xml:space="preserve">  SBC % revenue</t>
  </si>
  <si>
    <t xml:space="preserve">Net Income (GAAP)</t>
  </si>
  <si>
    <t xml:space="preserve">EPS diluted ($)</t>
  </si>
  <si>
    <t xml:space="preserve">  ADJ EBITDA  (Non-GAAP, source: company press releases)</t>
  </si>
  <si>
    <t xml:space="preserve">  Adj EBITDA margin %</t>
  </si>
  <si>
    <t xml:space="preserve">  SEGMENT DATA  ($M)</t>
  </si>
  <si>
    <t xml:space="preserve">Mobility — Gross Bookings</t>
  </si>
  <si>
    <t xml:space="preserve">Mobility — Revenue</t>
  </si>
  <si>
    <t xml:space="preserve">  Take rate (Rev/GB)</t>
  </si>
  <si>
    <t xml:space="preserve">Mobility — Adj EBITDA</t>
  </si>
  <si>
    <t xml:space="preserve">Delivery — Gross Bookings</t>
  </si>
  <si>
    <t xml:space="preserve">Delivery — Revenue</t>
  </si>
  <si>
    <t xml:space="preserve">  Take rate</t>
  </si>
  <si>
    <t xml:space="preserve">Delivery — Adj EBITDA</t>
  </si>
  <si>
    <t xml:space="preserve">Freight — Gross Bookings</t>
  </si>
  <si>
    <t xml:space="preserve">Freight — Revenue</t>
  </si>
  <si>
    <t xml:space="preserve">Freight — Adj EBITDA</t>
  </si>
  <si>
    <t xml:space="preserve">Corporate G&amp;A + Platform R&amp;D</t>
  </si>
  <si>
    <t xml:space="preserve">Sum of segments + Corporate (check vs Adj EBITDA)</t>
  </si>
  <si>
    <t xml:space="preserve">  BALANCE SHEET HISTORICAL  ($M, source: 10-K)</t>
  </si>
  <si>
    <t xml:space="preserve">Total Assets</t>
  </si>
  <si>
    <t xml:space="preserve">Total Stockholders' Equity (UBER)</t>
  </si>
  <si>
    <t xml:space="preserve">Total Equity (incl. NCI)</t>
  </si>
  <si>
    <t xml:space="preserve">Long-term Debt</t>
  </si>
  <si>
    <t xml:space="preserve">Cash + ST investments</t>
  </si>
  <si>
    <t xml:space="preserve">Accounts Receivable, net</t>
  </si>
  <si>
    <t xml:space="preserve">Accounts Payable</t>
  </si>
  <si>
    <t xml:space="preserve">ST Insurance reserves</t>
  </si>
  <si>
    <t xml:space="preserve">LT Insurance reserves</t>
  </si>
  <si>
    <t xml:space="preserve">  CASH FLOW  ($M, source: 10-K)</t>
  </si>
  <si>
    <t xml:space="preserve">CapEx</t>
  </si>
  <si>
    <t xml:space="preserve">Operating Cash Flow</t>
  </si>
  <si>
    <t xml:space="preserve">  FCF margin %</t>
  </si>
  <si>
    <t xml:space="preserve">Diluted shares (k, weighted-avg)</t>
  </si>
  <si>
    <t xml:space="preserve">  NOTAS METODOLOGICAS</t>
  </si>
  <si>
    <t xml:space="preserve">  Q4 2024 valuation allowance release: tax benefit no-cash de $6.4B distorsiona FY2024 NI</t>
  </si>
  <si>
    <t xml:space="preserve">  FY2025 NI = $10.0B vs Op Income $5.6B: gap por interest income, equity gains, tax NOL</t>
  </si>
  <si>
    <t xml:space="preserve">  Q1 2026: cambio UK Mobility (merchant -&gt; agency) reduce ~350bps Mobility revenue margin</t>
  </si>
  <si>
    <t xml:space="preserve">  Insurance reserves estimated for FY2025 (proporcion historica); confirmar con 10-K detalles</t>
  </si>
  <si>
    <t xml:space="preserve">  Las cifras 2020-2024 son ya finales en filings posteriores; 2025 es ultimo 10-K</t>
  </si>
  <si>
    <t xml:space="preserve">  MODELO DE OPERACIONES + FCFF + VALORACION  /  sensibilidades a la derecha</t>
  </si>
  <si>
    <t xml:space="preserve">(Sensibilidad Mobility — pendiente posicion)</t>
  </si>
  <si>
    <t xml:space="preserve">  A.  MOBILITY  (driver principal del valor)</t>
  </si>
  <si>
    <t xml:space="preserve"> Sens A. Mobility Margin × Take Rate (precio implicito $)</t>
  </si>
  <si>
    <t xml:space="preserve">Gross Bookings ($M)</t>
  </si>
  <si>
    <t xml:space="preserve">Op Margin ↓   Take Rate →</t>
  </si>
  <si>
    <t xml:space="preserve">Take Rate (Rev/GB)</t>
  </si>
  <si>
    <t xml:space="preserve">Op Margin (% revenue)</t>
  </si>
  <si>
    <t xml:space="preserve">Segment Op Income ($M)</t>
  </si>
  <si>
    <t xml:space="preserve">  % de GB (margen sobre actividad)</t>
  </si>
  <si>
    <t xml:space="preserve">Caso base aprox: TR 28%, margen 33%. El resto de drivers se mantiene en base.</t>
  </si>
  <si>
    <t xml:space="preserve">  B.  DELIVERY  (bloque secundario)</t>
  </si>
  <si>
    <t xml:space="preserve">  C.  FREIGHT  (modelar conservador)</t>
  </si>
  <si>
    <t xml:space="preserve">  D.  CORPORATE OVERHEAD  (driver de overhead dilution)</t>
  </si>
  <si>
    <t xml:space="preserve"> Sens D. Overhead (% GB) × WACC (precio implicito $)</t>
  </si>
  <si>
    <t xml:space="preserve">Total Gross Bookings ($M)</t>
  </si>
  <si>
    <t xml:space="preserve">Overhead ↓   WACC →</t>
  </si>
  <si>
    <t xml:space="preserve">Corporate cost (% GB)</t>
  </si>
  <si>
    <t xml:space="preserve">Corporate cost ($M)</t>
  </si>
  <si>
    <t xml:space="preserve">Q1 2026: 2.0%. Tesis pide bajar a ~1.4% para 2030. Cada 50bps mueve precio notablemente.</t>
  </si>
  <si>
    <t xml:space="preserve">  E.  CONSOLIDADO  -  EBIT y EBITDA</t>
  </si>
  <si>
    <t xml:space="preserve">Mobility Op Income</t>
  </si>
  <si>
    <t xml:space="preserve">Delivery Op Income</t>
  </si>
  <si>
    <t xml:space="preserve">Freight Op Income</t>
  </si>
  <si>
    <t xml:space="preserve">Sum Segments</t>
  </si>
  <si>
    <t xml:space="preserve">Corporate overhead</t>
  </si>
  <si>
    <t xml:space="preserve">Total Revenue ($M)</t>
  </si>
  <si>
    <t xml:space="preserve">EBIT (Non-GAAP Op Income)</t>
  </si>
  <si>
    <t xml:space="preserve">  EBIT margin (% revenue)</t>
  </si>
  <si>
    <t xml:space="preserve">  EBIT % sobre GB</t>
  </si>
  <si>
    <t xml:space="preserve">Total Revenue (= Mob+Del+Frt)</t>
  </si>
  <si>
    <t xml:space="preserve">(+) D&amp;A estimado (% revenue)</t>
  </si>
  <si>
    <t xml:space="preserve">D&amp;A ($M)</t>
  </si>
  <si>
    <t xml:space="preserve">EBITDA = EBIT + D&amp;A</t>
  </si>
  <si>
    <t xml:space="preserve">  F.  FREE CASH FLOW TO FIRM  (Damodaran Sales-to-Capital)</t>
  </si>
  <si>
    <t xml:space="preserve"> Sens F. Mobility Margin × Sales-to-Capital (precio $)</t>
  </si>
  <si>
    <t xml:space="preserve">FCFF (NOPAT - Reinversion)</t>
  </si>
  <si>
    <t xml:space="preserve">Op Margin ↓   S2C →</t>
  </si>
  <si>
    <t xml:space="preserve">  Periodo (anos desde 2025)</t>
  </si>
  <si>
    <t xml:space="preserve">NOPAT = EBIT × (1-T)</t>
  </si>
  <si>
    <t xml:space="preserve">ΔRevenue ($M)</t>
  </si>
  <si>
    <t xml:space="preserve">Reinversion = ΔRev / S2C</t>
  </si>
  <si>
    <t xml:space="preserve">Factor de descuento</t>
  </si>
  <si>
    <t xml:space="preserve">PV de FCFF</t>
  </si>
  <si>
    <t xml:space="preserve">Suma PV FCFFs explicitos (anos 1-5)</t>
  </si>
  <si>
    <t xml:space="preserve">S2C alto = asset-light; subir de 5x a 7x mueve precio +$2-3.</t>
  </si>
  <si>
    <t xml:space="preserve">  G.  VALORACION  -  4 metodos de Terminal Value</t>
  </si>
  <si>
    <t xml:space="preserve"> Sens G. WACC × TGR (Gordon DCF, recomputo completo)</t>
  </si>
  <si>
    <t xml:space="preserve">Inputs comunes:</t>
  </si>
  <si>
    <t xml:space="preserve">TGR (g) ↓   WACC →</t>
  </si>
  <si>
    <t xml:space="preserve">  WACC</t>
  </si>
  <si>
    <t xml:space="preserve">  TGR (g)</t>
  </si>
  <si>
    <t xml:space="preserve">  FCFF 2030E (de seccion F)</t>
  </si>
  <si>
    <t xml:space="preserve">  EBIT 2030E (de seccion E)</t>
  </si>
  <si>
    <t xml:space="preserve">  EBITDA 2030E (de seccion E)</t>
  </si>
  <si>
    <t xml:space="preserve">  Suma PV FCFF explicitos (de seccion F)</t>
  </si>
  <si>
    <t xml:space="preserve">  PV factor año 5</t>
  </si>
  <si>
    <t xml:space="preserve">  Metodo 1: Gordon Growth</t>
  </si>
  <si>
    <t xml:space="preserve">Sens más sensible al spread WACC-g. Cuanto menor, más explosivo el TV.</t>
  </si>
  <si>
    <t xml:space="preserve">  TV = FCFF(t+1) / (WACC - g)</t>
  </si>
  <si>
    <t xml:space="preserve">  PV(TV)</t>
  </si>
  <si>
    <t xml:space="preserve">  Metodo 2: H-Model (decadencia gradual)</t>
  </si>
  <si>
    <t xml:space="preserve">  Crecimiento corto (g_s)</t>
  </si>
  <si>
    <t xml:space="preserve">  Anos de transicion (H/2)</t>
  </si>
  <si>
    <t xml:space="preserve">  TV = FCFF*(1+g)/(WACC-g) + FCFF*H*(g_s-g)/(WACC-g)</t>
  </si>
  <si>
    <t xml:space="preserve">  Metodo 3: Exit Multiple EV/EBITDA</t>
  </si>
  <si>
    <t xml:space="preserve">  EV/EBITDA salida</t>
  </si>
  <si>
    <t xml:space="preserve">  TV = EBITDA(2030) × multiplo</t>
  </si>
  <si>
    <t xml:space="preserve">  Metodo 4: Exit Multiple EV/EBIT</t>
  </si>
  <si>
    <t xml:space="preserve">  EV/EBIT salida</t>
  </si>
  <si>
    <t xml:space="preserve">  TV = EBIT(2030) × multiplo</t>
  </si>
  <si>
    <t xml:space="preserve">  PUENTE EV → EQUITY → PRECIO POR ACCION</t>
  </si>
  <si>
    <t xml:space="preserve">Suma PV FCFFs explicitos</t>
  </si>
  <si>
    <t xml:space="preserve">(+) PV(Terminal Value)</t>
  </si>
  <si>
    <t xml:space="preserve">(-) Total debt</t>
  </si>
  <si>
    <t xml:space="preserve">(+) Cash + ST inv</t>
  </si>
  <si>
    <t xml:space="preserve">(+) Equity stakes</t>
  </si>
  <si>
    <t xml:space="preserve">(+) Equity method</t>
  </si>
  <si>
    <t xml:space="preserve">(-) NCI</t>
  </si>
  <si>
    <t xml:space="preserve">Equity Value</t>
  </si>
  <si>
    <t xml:space="preserve">Precio implicito por accion ($)</t>
  </si>
  <si>
    <t xml:space="preserve">Precio actual (spot)</t>
  </si>
  <si>
    <t xml:space="preserve">Upside / (Downside)</t>
  </si>
  <si>
    <t xml:space="preserve">  RESUMEN PRECIOS IMPLICITOS  (los 4 metodos + promedio)</t>
  </si>
  <si>
    <t xml:space="preserve">MEDIANA (4 DCF + 4 metodos)</t>
  </si>
  <si>
    <t xml:space="preserve">  DuPont ROE  +  WORKING CAPITAL ANALYSIS</t>
  </si>
  <si>
    <t xml:space="preserve">  1. DuPont 5-STEP DECOMPOSITION  (datos historicos)</t>
  </si>
  <si>
    <t xml:space="preserve">ROE = Tax × Interest × Op Margin × Asset Turnover × Leverage</t>
  </si>
  <si>
    <t xml:space="preserve">  Inputs (links Historico)</t>
  </si>
  <si>
    <t xml:space="preserve">EBIT (GAAP Operating Income)</t>
  </si>
  <si>
    <t xml:space="preserve">Non-operating income/(loss) - hardcode</t>
  </si>
  <si>
    <t xml:space="preserve">EBT = EBIT + Non-op</t>
  </si>
  <si>
    <t xml:space="preserve">Net Income (UBER)</t>
  </si>
  <si>
    <t xml:space="preserve">Total Assets (avg of beg+end)</t>
  </si>
  <si>
    <t xml:space="preserve">Stockholders' Equity (avg)</t>
  </si>
  <si>
    <t xml:space="preserve">  Componentes de DuPont 5-step</t>
  </si>
  <si>
    <t xml:space="preserve">Tax Burden (NI / EBT)</t>
  </si>
  <si>
    <t xml:space="preserve">Interest Burden (EBT / EBIT)</t>
  </si>
  <si>
    <t xml:space="preserve">EBIT margin (EBIT / Revenue)</t>
  </si>
  <si>
    <t xml:space="preserve">Asset Turnover (Revenue / Assets)</t>
  </si>
  <si>
    <t xml:space="preserve">Equity Multiplier (Assets / Equity)</t>
  </si>
  <si>
    <t xml:space="preserve">ROE (5-step product)</t>
  </si>
  <si>
    <t xml:space="preserve">ROE (NI / Equity, check)</t>
  </si>
  <si>
    <t xml:space="preserve">Comentario:</t>
  </si>
  <si>
    <t xml:space="preserve">ROE 2024-2025 distorsionado por valuation allowance release y ganancias en equity stakes.</t>
  </si>
  <si>
    <t xml:space="preserve">  2. ROE OPERATIVO  (NOPAT-based, mas representativo)</t>
  </si>
  <si>
    <t xml:space="preserve">Limpia distorsiones de tax NOLs y equity investment marks</t>
  </si>
  <si>
    <t xml:space="preserve">EBIT (de arriba)</t>
  </si>
  <si>
    <t xml:space="preserve">Tipo impositivo asumido (Hipotesis)</t>
  </si>
  <si>
    <t xml:space="preserve">Capital invertido (Equity + LT debt - Cash)</t>
  </si>
  <si>
    <t xml:space="preserve">ROIC operativo = NOPAT / Capital invertido</t>
  </si>
  <si>
    <t xml:space="preserve">ROCE = EBIT / Capital invertido</t>
  </si>
  <si>
    <t xml:space="preserve">Lectura:</t>
  </si>
  <si>
    <t xml:space="preserve">  - ROE GAAP 2025 = ~37% pero distorsionado al alza</t>
  </si>
  <si>
    <t xml:space="preserve">  - ROIC operativo subyacente = ~25-30% (FY2025) — un negocio con muy alto retorno sobre capital</t>
  </si>
  <si>
    <t xml:space="preserve">  - La trayectoria 2020 → 2025 muestra el flip de quema de capital a generacion de valor</t>
  </si>
  <si>
    <t xml:space="preserve">  3. WORKING CAPITAL ANALYSIS</t>
  </si>
  <si>
    <t xml:space="preserve">  Componentes de WC (links Historico)</t>
  </si>
  <si>
    <t xml:space="preserve">Accounts Receivable</t>
  </si>
  <si>
    <t xml:space="preserve">  Ratios de eficiencia operativa</t>
  </si>
  <si>
    <t xml:space="preserve">DSO = AR / Revenue × 365 (días)</t>
  </si>
  <si>
    <t xml:space="preserve">DPO = AP / Cost of Revenue × 365 (días)</t>
  </si>
  <si>
    <t xml:space="preserve">Insurance reserves total</t>
  </si>
  <si>
    <t xml:space="preserve">  Insurance reserves / Revenue</t>
  </si>
  <si>
    <t xml:space="preserve">  Insurance reserves / Mobility GB</t>
  </si>
  <si>
    <t xml:space="preserve">  Working Capital implicado</t>
  </si>
  <si>
    <t xml:space="preserve">Working Capital simplificado</t>
  </si>
  <si>
    <t xml:space="preserve">  = AR - AP - Insurance reserves</t>
  </si>
  <si>
    <t xml:space="preserve">Net Working Capital ($M)</t>
  </si>
  <si>
    <t xml:space="preserve">  NWC / Revenue</t>
  </si>
  <si>
    <t xml:space="preserve">ΔNWC YoY ($M)</t>
  </si>
  <si>
    <t xml:space="preserve">  ΔNWC / ΔRevenue (sales-to-capital reverso)</t>
  </si>
  <si>
    <t xml:space="preserve">  4. CASH CONVERSION CYCLE  (framework completo)</t>
  </si>
  <si>
    <t xml:space="preserve">CCC = DSO + DIO - DPO. Para UBER, DIO = 0 (no hay inventario).</t>
  </si>
  <si>
    <t xml:space="preserve">  Inventario</t>
  </si>
  <si>
    <t xml:space="preserve">Inventory ($M)</t>
  </si>
  <si>
    <t xml:space="preserve">Cost of Revenue (excl D&amp;A) ($M)</t>
  </si>
  <si>
    <t xml:space="preserve">  Inventory metrics  (N/A para UBER)</t>
  </si>
  <si>
    <t xml:space="preserve">DIO = Inventory / COGS x 365 (dias)</t>
  </si>
  <si>
    <t xml:space="preserve">Inventory Turnover (x)</t>
  </si>
  <si>
    <t xml:space="preserve">  Receivables &amp; Payables turnover</t>
  </si>
  <si>
    <t xml:space="preserve">AR Turnover = Revenue / AR (x)</t>
  </si>
  <si>
    <t xml:space="preserve">AP Turnover = COGS / AP (x)</t>
  </si>
  <si>
    <t xml:space="preserve">Asset Turnover = Revenue / Total Assets (x)</t>
  </si>
  <si>
    <t xml:space="preserve">  Operating Cycle y Cash Conversion Cycle</t>
  </si>
  <si>
    <t xml:space="preserve">Operating Cycle = DIO + DSO (dias)</t>
  </si>
  <si>
    <t xml:space="preserve">Cash Conversion Cycle = DIO + DSO - DPO (dias)</t>
  </si>
  <si>
    <t xml:space="preserve">Insurance reserves DAYS = Reserves / GB x 365</t>
  </si>
  <si>
    <t xml:space="preserve">CCC ajustado = CCC - Insurance reserves days</t>
  </si>
  <si>
    <t xml:space="preserve">Lectura UBER:</t>
  </si>
  <si>
    <t xml:space="preserve">  - CCC clasico = DSO - DPO ~ +15-20 dias  (sin ajustar)</t>
  </si>
  <si>
    <t xml:space="preserve">  - CCC ajustado por insurance reserves es FUERTEMENTE NEGATIVO</t>
  </si>
  <si>
    <t xml:space="preserve">  - El framework CCC clasico no esta diseñado para asset-light platforms</t>
  </si>
  <si>
    <t xml:space="preserve">  - Las insurance reserves actuan como linea de financiamiento gratuita</t>
  </si>
  <si>
    <t xml:space="preserve">  5. CONCLUSIONES Y INSIGHTS</t>
  </si>
  <si>
    <t xml:space="preserve">  - ROIC operativo 2025 cerca del 14-15% — negocio asset-light en transicion a alto retorno</t>
  </si>
  <si>
    <t xml:space="preserve">  - Insurance reserves crecen con escala (~3-4% sobre GB) — fuente estructural de financiamiento gratuito</t>
  </si>
  <si>
    <t xml:space="preserve">  - Working Capital es NEGATIVO (NWC &lt; 0) — el negocio se autofinancia: cobra rapido, paga reservas</t>
  </si>
  <si>
    <t xml:space="preserve">  - Cada $1 incremental de revenue libera ~$0.05 de WC (ΔWC/ΔRev negativo) — tailwind de cash</t>
  </si>
  <si>
    <t xml:space="preserve">  - DSO ~25-30 dias, DPO bajo — proveedores se pagan rapido, clientes aun mas rapido</t>
  </si>
  <si>
    <t xml:space="preserve">  - DIO = 0 (sin inventario) — confirma modelo asset-light puro</t>
  </si>
  <si>
    <t xml:space="preserve">  - ROE GAAP 2024-2025 (~37-60%) NO es replicable: depende de equity stakes marks y NOL releases</t>
  </si>
  <si>
    <t xml:space="preserve">  - Para valoracion: usar ROIC operativo (~14-15%), no ROE GAAP</t>
  </si>
  <si>
    <t xml:space="preserve">EBIT margin</t>
  </si>
  <si>
    <t xml:space="preserve">Asset Turnover (x)</t>
  </si>
  <si>
    <t xml:space="preserve">Insurance reserves</t>
  </si>
  <si>
    <t xml:space="preserve">NWC (negativo)</t>
  </si>
  <si>
    <t xml:space="preserve">DSO (dias)</t>
  </si>
  <si>
    <t xml:space="preserve">DPO (dias)</t>
  </si>
  <si>
    <t xml:space="preserve">CCC clasico</t>
  </si>
  <si>
    <t xml:space="preserve">CCC ajustado (insur.)</t>
  </si>
  <si>
    <t xml:space="preserve">  REVERSE DCF  -  que esta priceando el mercado</t>
  </si>
  <si>
    <t xml:space="preserve">  Concepto: tomamos el spot price como dado y resolvemos hacia atras los inputs implicitos.</t>
  </si>
  <si>
    <t xml:space="preserve">  Ayuda a contrastar tu tesis con lo que el mercado ya esta descontando.</t>
  </si>
  <si>
    <t xml:space="preserve">  1. ESTADO DE MERCADO  +  CASO BASE  (links)</t>
  </si>
  <si>
    <t xml:space="preserve">Spot price ($)</t>
  </si>
  <si>
    <t xml:space="preserve">Acciones diluidas (k)</t>
  </si>
  <si>
    <t xml:space="preserve">(+) LT Debt</t>
  </si>
  <si>
    <t xml:space="preserve">(-) Cash + ST inv</t>
  </si>
  <si>
    <t xml:space="preserve">(-) Equity stakes (Aurora, Grab, Didi, Lucid, etc.)</t>
  </si>
  <si>
    <t xml:space="preserve">(-) Equity method investments</t>
  </si>
  <si>
    <t xml:space="preserve">(+) NCI</t>
  </si>
  <si>
    <t xml:space="preserve">OPERATING EV  (lo que el mercado paga por las operaciones)</t>
  </si>
  <si>
    <t xml:space="preserve">  Parametros del caso base (Hipotesis):</t>
  </si>
  <si>
    <t xml:space="preserve">TGR (g) base</t>
  </si>
  <si>
    <t xml:space="preserve">Tipo impositivo (T)</t>
  </si>
  <si>
    <t xml:space="preserve">Sales-to-Capital (S2C)</t>
  </si>
  <si>
    <t xml:space="preserve">  Proyeccion del modelo  (FCFF 2026-2030 en $M, link Modelo):</t>
  </si>
  <si>
    <t xml:space="preserve">FCFF base ($M)</t>
  </si>
  <si>
    <t xml:space="preserve">EBIT base ($M)</t>
  </si>
  <si>
    <t xml:space="preserve">EBITDA base ($M)</t>
  </si>
  <si>
    <t xml:space="preserve">Revenue base ($M)</t>
  </si>
  <si>
    <t xml:space="preserve">Periodo de descuento</t>
  </si>
  <si>
    <t xml:space="preserve">PV factor (1+WACC)^-t</t>
  </si>
  <si>
    <t xml:space="preserve">PV de FCFF base</t>
  </si>
  <si>
    <t xml:space="preserve">Suma PV FCFFs explicitos (5 anos)</t>
  </si>
  <si>
    <t xml:space="preserve">Required PV(TV) = Operating EV - Sum PV explicit</t>
  </si>
  <si>
    <t xml:space="preserve">Required Terminal Value @ Y5 = Required PV(TV) / PV factor Y5</t>
  </si>
  <si>
    <t xml:space="preserve">  2. METODO A.  Gordon single-stage  -  implied perpetual growth</t>
  </si>
  <si>
    <t xml:space="preserve">Formula: EV = FCFF*(1+g)/(WACC-g)  --&gt;  g = (EV*WACC - FCFF)/(EV+FCFF)</t>
  </si>
  <si>
    <t xml:space="preserve">  Resolviendo para distintos FCFF base:</t>
  </si>
  <si>
    <t xml:space="preserve">Implied g (%)</t>
  </si>
  <si>
    <t xml:space="preserve">vs base 2.5%</t>
  </si>
  <si>
    <t xml:space="preserve">Lectura</t>
  </si>
  <si>
    <t xml:space="preserve">Usando FCFF 2025 (actual)</t>
  </si>
  <si>
    <t xml:space="preserve">Si crees que 2025 es el run-rate sostenible -&gt; el mercado pide alto crecimiento</t>
  </si>
  <si>
    <t xml:space="preserve">Usando FCFF 2026E (modelo)</t>
  </si>
  <si>
    <t xml:space="preserve">Si tomas el FCFF NTM como base -&gt; g implicito alto (FCFF crecera)</t>
  </si>
  <si>
    <t xml:space="preserve">Usando FCFF 2030E (modelo)</t>
  </si>
  <si>
    <t xml:space="preserve">Si crees al modelo, el g implicito es bajo y compatible con perpetuidad madura</t>
  </si>
  <si>
    <t xml:space="preserve">Conclusion Metodo A:</t>
  </si>
  <si>
    <t xml:space="preserve">  La eleccion del FCFF base cambia drasticamente el g implicito.</t>
  </si>
  <si>
    <t xml:space="preserve">  Por eso un Gordon single-stage es POBRE para empresas en crecimiento como UBER.</t>
  </si>
  <si>
    <t xml:space="preserve">  Mejor usar Metodo B (two-stage) que separa periodo explicito de perpetuidad.</t>
  </si>
  <si>
    <t xml:space="preserve">  3. METODO B.  Two-stage  -  implied terminal growth (post-2030)</t>
  </si>
  <si>
    <t xml:space="preserve">Dado el modelo explicito 2026-2030, ¿que g perpetuo justifica el spot?</t>
  </si>
  <si>
    <t xml:space="preserve">Formula: g = (TV_required*WACC - FCFF_2030)/(TV_required + FCFF_2030)</t>
  </si>
  <si>
    <t xml:space="preserve">  Calculo:</t>
  </si>
  <si>
    <t xml:space="preserve">Required TV at Y5 ($M)</t>
  </si>
  <si>
    <t xml:space="preserve">FCFF 2030E base</t>
  </si>
  <si>
    <t xml:space="preserve">Implied terminal g</t>
  </si>
  <si>
    <t xml:space="preserve">vs base case g (2.5%)</t>
  </si>
  <si>
    <t xml:space="preserve">  Si implied g &gt; 2.5% (base) -&gt; mercado mas optimista que el modelo en perpetuidad</t>
  </si>
  <si>
    <t xml:space="preserve">  Si implied g &lt; 2.5% -&gt; el modelo es mas optimista que el mercado</t>
  </si>
  <si>
    <t xml:space="preserve">  Plausibilidad: g sostenible para perpetuidad debe estar &lt;= LT GDP nominal (~3.5-4%)</t>
  </si>
  <si>
    <t xml:space="preserve">  4. METODO C.  Implied exit multiple  EV/EBITDA  @ Year 5</t>
  </si>
  <si>
    <t xml:space="preserve">Asumiendo modelo explicito + WACC base, ¿que multiplo de salida pricea el mercado?</t>
  </si>
  <si>
    <t xml:space="preserve">Formula: multiple = Required TV @ Y5 / EBITDA 2030E</t>
  </si>
  <si>
    <t xml:space="preserve">EBITDA 2030E base ($M)</t>
  </si>
  <si>
    <t xml:space="preserve">Implied EV/EBITDA exit multiple</t>
  </si>
  <si>
    <t xml:space="preserve">  vs base case multiplo (16x)</t>
  </si>
  <si>
    <t xml:space="preserve">EBIT 2030E base ($M)</t>
  </si>
  <si>
    <t xml:space="preserve">Implied EV/EBIT exit multiple</t>
  </si>
  <si>
    <t xml:space="preserve">  vs base case multiplo (18x)</t>
  </si>
  <si>
    <t xml:space="preserve">  UBER hoy cotiza ~17x EBITDA (NTM 2026E). Si implied exit &lt; 17x, mercado espera CONTRACCION del multiplo.</t>
  </si>
  <si>
    <t xml:space="preserve">  Contraccion del multiplo es razonable al madurar (de high-growth -&gt; mature platform).</t>
  </si>
  <si>
    <t xml:space="preserve">  Si implied exit &lt; 10x EBITDA -&gt; el mercado pricea madurez completa para 2030.</t>
  </si>
  <si>
    <t xml:space="preserve">  5. METODO D.  Implied 2030E EBIT margin  (fijando WACC, g, S2C, revenue al base)</t>
  </si>
  <si>
    <t xml:space="preserve">¿Que margen operativo en 2030 se requiere para justificar el spot?</t>
  </si>
  <si>
    <t xml:space="preserve">Sum PV FCFF 2026-2029 (excluding 2030)</t>
  </si>
  <si>
    <t xml:space="preserve">Required FCFF 2030E (implied)</t>
  </si>
  <si>
    <t xml:space="preserve">  vs FCFF 2030E base</t>
  </si>
  <si>
    <t xml:space="preserve">  Diferencia ($M)</t>
  </si>
  <si>
    <t xml:space="preserve">  % diferencia vs base</t>
  </si>
  <si>
    <t xml:space="preserve">  Back-out del EBIT margin:</t>
  </si>
  <si>
    <t xml:space="preserve">Required FCFF 2030 (de arriba)</t>
  </si>
  <si>
    <t xml:space="preserve">Reinversion 2030 base (ΔRev/S2C)</t>
  </si>
  <si>
    <t xml:space="preserve">NOPAT requerido 2030 = FCFF + Reinvest</t>
  </si>
  <si>
    <t xml:space="preserve">EBIT requerido 2030 = NOPAT/(1-T)</t>
  </si>
  <si>
    <t xml:space="preserve">Revenue 2030 base</t>
  </si>
  <si>
    <t xml:space="preserve">Implied EBIT margin 2030</t>
  </si>
  <si>
    <t xml:space="preserve">  vs EBIT margin base 2030</t>
  </si>
  <si>
    <t xml:space="preserve">  Diferencia (bps)</t>
  </si>
  <si>
    <t xml:space="preserve">  Si implied margin &gt; base (21.6%) -&gt; mercado pide mas operating leverage</t>
  </si>
  <si>
    <t xml:space="preserve">  Si implied margin &lt; base -&gt; mercado es escéptico sobre la expansion del modelo</t>
  </si>
  <si>
    <t xml:space="preserve">  Comparar con Mobility Op Margin Q1 26 (29.8%), peers consumer tech (15-25%)</t>
  </si>
  <si>
    <t xml:space="preserve">  6. METODO E.  Implied 5Y FCFF CAGR  (2025 -&gt; 2030 implied)</t>
  </si>
  <si>
    <t xml:space="preserve">Dado FCFF 2030 implied y FCFF 2025 actual, ¿que CAGR esta priceando?</t>
  </si>
  <si>
    <t xml:space="preserve">FCFF 2025 actual ($M)</t>
  </si>
  <si>
    <t xml:space="preserve">FCFF 2030 implied (Metodo D)</t>
  </si>
  <si>
    <t xml:space="preserve">Implied 5Y FCFF CAGR 2025-2030</t>
  </si>
  <si>
    <t xml:space="preserve">  Base case CAGR (modelo)</t>
  </si>
  <si>
    <t xml:space="preserve">Lectura: si implied &gt; base, mercado mas optimista en growth de FCFF que el modelo</t>
  </si>
  <si>
    <t xml:space="preserve">  7. RESUMEN  -  IMPLIED vs BASE  (todos los metodos)</t>
  </si>
  <si>
    <t xml:space="preserve">Metodo / Variable</t>
  </si>
  <si>
    <t xml:space="preserve">Implied</t>
  </si>
  <si>
    <t xml:space="preserve">Gap</t>
  </si>
  <si>
    <t xml:space="preserve">Plausibilidad</t>
  </si>
  <si>
    <t xml:space="preserve">Metodo A — Implied perpetual g (using FCFF 2030)</t>
  </si>
  <si>
    <t xml:space="preserve">Buena referencia para perpetuidad</t>
  </si>
  <si>
    <t xml:space="preserve">Metodo B — Implied terminal g (two-stage)</t>
  </si>
  <si>
    <t xml:space="preserve">Mejor que Metodo A — separa explicit + perpetuity</t>
  </si>
  <si>
    <t xml:space="preserve">Metodo C — Implied EV/EBITDA exit multiple</t>
  </si>
  <si>
    <t xml:space="preserve">Multiplo madura: 12-18x razonable</t>
  </si>
  <si>
    <t xml:space="preserve">Metodo D — Implied 2030E EBIT margin</t>
  </si>
  <si>
    <t xml:space="preserve">Comparar con peers (15-25%) y Mobility Q1 26 (29.8%)</t>
  </si>
  <si>
    <t xml:space="preserve">Metodo E — Implied 5Y FCFF CAGR</t>
  </si>
  <si>
    <t xml:space="preserve">GE/peers maduros: 5-8% sostenible</t>
  </si>
  <si>
    <t xml:space="preserve">  8. INTERPRETACION GLOBAL</t>
  </si>
  <si>
    <t xml:space="preserve">Si los valores implicitos quedan POR DEBAJO del caso base (modelo) -&gt; hay UPSIDE en tu tesis</t>
  </si>
  <si>
    <t xml:space="preserve">Si quedan POR ENCIMA -&gt; el mercado ya esta priceando un escenario mas agresivo que tu modelo</t>
  </si>
  <si>
    <t xml:space="preserve">El metodo mas robusto es B (two-stage). C, D, E son cross-checks complementarios.</t>
  </si>
  <si>
    <t xml:space="preserve">Year</t>
  </si>
  <si>
    <t xml:space="preserve">FCFF base</t>
  </si>
  <si>
    <t xml:space="preserve">FCFF implied (Metodo D)</t>
  </si>
  <si>
    <t xml:space="preserve">Base</t>
  </si>
  <si>
    <t xml:space="preserve">A. Perpetual g (FCFF'30)</t>
  </si>
  <si>
    <t xml:space="preserve">B. Terminal g (two-stage)</t>
  </si>
  <si>
    <t xml:space="preserve">E. 5Y FCFF CAGR</t>
  </si>
  <si>
    <t xml:space="preserve">  FUENTES Y METODOLOGIA  /  trazabilidad completa</t>
  </si>
  <si>
    <t xml:space="preserve">  1. FUENTES FINANCIERAS PRIMARIAS  (SEC EDGAR)</t>
  </si>
  <si>
    <t xml:space="preserve">Item</t>
  </si>
  <si>
    <t xml:space="preserve">Documento</t>
  </si>
  <si>
    <t xml:space="preserve">URL / Referencia</t>
  </si>
  <si>
    <t xml:space="preserve">FY2025 Q4 + Annual press release</t>
  </si>
  <si>
    <t xml:space="preserve">8-K filed Feb 5, 2026</t>
  </si>
  <si>
    <t xml:space="preserve">https://www.sec.gov/Archives/edgar/data/1543151/000154315126000011/uberq425earningspressrelea.htm</t>
  </si>
  <si>
    <t xml:space="preserve">Form 10-K FY2025</t>
  </si>
  <si>
    <t xml:space="preserve">Filed Feb 13, 2026</t>
  </si>
  <si>
    <t xml:space="preserve">https://www.sec.gov/Archives/edgar/data/1543151/000154315126000015/uber-20251231.htm</t>
  </si>
  <si>
    <t xml:space="preserve">Q4 2025 Prepared Remarks</t>
  </si>
  <si>
    <t xml:space="preserve">Earnings call materials</t>
  </si>
  <si>
    <t xml:space="preserve">https://s23.q4cdn.com/407969754/files/doc_earnings/2025/q4/transcript/Uber-Q4-25-Prepared-Remarks.pdf</t>
  </si>
  <si>
    <t xml:space="preserve">Q1 2026 Earnings press release</t>
  </si>
  <si>
    <t xml:space="preserve">8-K filed May 6, 2026</t>
  </si>
  <si>
    <t xml:space="preserve">https://www.sec.gov/Archives/edgar/data/1543151/000154315126000019/uberq126earningspressrelea.htm</t>
  </si>
  <si>
    <t xml:space="preserve">Q3 2025 10-Q</t>
  </si>
  <si>
    <t xml:space="preserve">Filed Nov 2025</t>
  </si>
  <si>
    <t xml:space="preserve">https://www.sec.gov/cgi-bin/browse-edgar?action=getcompany&amp;CIK=0001543151&amp;type=10-Q</t>
  </si>
  <si>
    <t xml:space="preserve">Q2 2025 10-Q</t>
  </si>
  <si>
    <t xml:space="preserve">Filed Aug 2025</t>
  </si>
  <si>
    <t xml:space="preserve">https://www.sec.gov/Archives/edgar/data/1543151/000154315125000023/uber-20250630.htm</t>
  </si>
  <si>
    <t xml:space="preserve">Q1 2025 10-Q</t>
  </si>
  <si>
    <t xml:space="preserve">Filed May 2025</t>
  </si>
  <si>
    <t xml:space="preserve">https://www.sec.gov/Archives/edgar/data/1543151/000154315125000015/uber-20250331.htm</t>
  </si>
  <si>
    <t xml:space="preserve">Form 10-K FY2024</t>
  </si>
  <si>
    <t xml:space="preserve">Filed Feb 2025</t>
  </si>
  <si>
    <t xml:space="preserve">https://www.sec.gov/Archives/edgar/data/1543151/000154315125000008/uber-20241231.htm</t>
  </si>
  <si>
    <t xml:space="preserve">Investor Relations</t>
  </si>
  <si>
    <t xml:space="preserve">Quarterly materials &amp; releases</t>
  </si>
  <si>
    <t xml:space="preserve">https://investor.uber.com/financials/default.aspx</t>
  </si>
  <si>
    <t xml:space="preserve">  2. DATOS DE MERCADO  (precio, beta, tasas)</t>
  </si>
  <si>
    <t xml:space="preserve">Valor</t>
  </si>
  <si>
    <t xml:space="preserve">Fuente</t>
  </si>
  <si>
    <t xml:space="preserve">Precio UBER (spot)</t>
  </si>
  <si>
    <t xml:space="preserve">$77.11 al 8 May 2026 (NYSE close)</t>
  </si>
  <si>
    <t xml:space="preserve">Robinhood, CNBC, Bloomberg</t>
  </si>
  <si>
    <t xml:space="preserve">Beta apalancado 5Y</t>
  </si>
  <si>
    <t xml:space="preserve">1.30 (midpoint rango 1.21-1.65)</t>
  </si>
  <si>
    <t xml:space="preserve">Yahoo Finance 5Y monthly, Walletinvestor, TradingView</t>
  </si>
  <si>
    <t xml:space="preserve">Risk-free rate (10Y UST)</t>
  </si>
  <si>
    <t xml:space="preserve">4.35% (semana 4-7 May 2026)</t>
  </si>
  <si>
    <t xml:space="preserve">FRED DGS10: https://fred.stlouisfed.org/series/DGS10</t>
  </si>
  <si>
    <t xml:space="preserve">Equity Risk Premium</t>
  </si>
  <si>
    <t xml:space="preserve">5.0% (USD ERP rango 4.5-5.5% 2025-26)</t>
  </si>
  <si>
    <t xml:space="preserve">Damodaran ERP: https://pages.stern.nyu.edu/~adamodar/</t>
  </si>
  <si>
    <t xml:space="preserve">Sales-to-Capital sector</t>
  </si>
  <si>
    <t xml:space="preserve">Online/platform tech: 4-6x</t>
  </si>
  <si>
    <t xml:space="preserve">Damodaran sector data: https://pages.stern.nyu.edu/~adamodar/</t>
  </si>
  <si>
    <t xml:space="preserve">Coste de deuda</t>
  </si>
  <si>
    <t xml:space="preserve">5.4-5.6% (Sept 2025 senior notes)</t>
  </si>
  <si>
    <t xml:space="preserve">Per FY2025 10-K Note on Debt</t>
  </si>
  <si>
    <t xml:space="preserve">Analyst consensus PT</t>
  </si>
  <si>
    <t xml:space="preserve">~$104 (May 2026)</t>
  </si>
  <si>
    <t xml:space="preserve">Yahoo Finance, MarketBeat consensus</t>
  </si>
  <si>
    <t xml:space="preserve">52w range</t>
  </si>
  <si>
    <t xml:space="preserve">$68.46 — $101.99</t>
  </si>
  <si>
    <t xml:space="preserve">NYSE consolidated tape</t>
  </si>
  <si>
    <t xml:space="preserve">  3. NOTAS METODOLOGICAS CRITICAS</t>
  </si>
  <si>
    <t xml:space="preserve">Cambio UK Mobility (Q1 2026)</t>
  </si>
  <si>
    <t xml:space="preserve">Merchant -&gt; agency model. Resta ~350bps al margen de revenue Mobility, sin impacto profit.</t>
  </si>
  <si>
    <t xml:space="preserve">Q4 2025 prepared remarks. Explica casi por completo la caida del take rate de 30.7% a 25.8%.</t>
  </si>
  <si>
    <t xml:space="preserve">Take rate reportado vs normalizado</t>
  </si>
  <si>
    <t xml:space="preserve">Reportado Q1 2026: 25.8%. Normalizado (ajustando UK): ~28-29%.</t>
  </si>
  <si>
    <t xml:space="preserve">Modelo usa take rate normalizado en banda 26-28% para 2026E-2030E.</t>
  </si>
  <si>
    <t xml:space="preserve">Tax rate</t>
  </si>
  <si>
    <t xml:space="preserve">Non-GAAP ETR FY2026: 22-25%. Cash tax 10-15% (NOLs).</t>
  </si>
  <si>
    <t xml:space="preserve">Modelo usa 22% efectivo (conservador). Cash tax mas bajo da diferencia transitoria positiva.</t>
  </si>
  <si>
    <t xml:space="preserve">Tax valuation release FY2024</t>
  </si>
  <si>
    <t xml:space="preserve">Q4 2024 libero valuation allowance con benefit no-cash $6.4B. Distorsiona NI 2024 GAAP.</t>
  </si>
  <si>
    <t xml:space="preserve">Para FY2024-25 usar Op Income / Adj EBITDA / Non-GAAP Op Income como anclas, no NI GAAP.</t>
  </si>
  <si>
    <t xml:space="preserve">Reporting transition 2026</t>
  </si>
  <si>
    <t xml:space="preserve">Uber paso de Adj EBITDA a Non-GAAP Op Income como metrica primaria desde Q1 2026.</t>
  </si>
  <si>
    <t xml:space="preserve">Modelo reporta ambos; FCFF se construye sobre EBIT (Damodaran sales-to-capital).</t>
  </si>
  <si>
    <t xml:space="preserve">Equity stakes valoracion</t>
  </si>
  <si>
    <t xml:space="preserve">$8.1B Q1 2026 = mix marketable (Aurora, Grab) + non-marketable (Didi, Lucid, Waabi).</t>
  </si>
  <si>
    <t xml:space="preserve">Q1 2026 incluyo $1.5B mark-down. Modelo valora a 100% del valor en libros / mercado.</t>
  </si>
  <si>
    <t xml:space="preserve">FCFF approach</t>
  </si>
  <si>
    <t xml:space="preserve">Damodaran sales-to-capital primario; aproximacion: NOPAT - ΔRev/S2C.</t>
  </si>
  <si>
    <t xml:space="preserve">Genera FCFF anual; suma PV explicito + PV terminal.</t>
  </si>
  <si>
    <t xml:space="preserve">Terminal Value (4 metodos)</t>
  </si>
  <si>
    <t xml:space="preserve">Gordon, H-Model (decay 7.5%-&gt;2.5%), Exit EV/EBITDA (16x), Exit EV/EBIT (18x).</t>
  </si>
  <si>
    <t xml:space="preserve">Diversifica supuesto terminal; promedio sirve de punto medio.</t>
  </si>
  <si>
    <t xml:space="preserve">ROE distorsionado</t>
  </si>
  <si>
    <t xml:space="preserve">ROE GAAP 2024-25 (~37-60%) inflada por valuation release y equity stakes marks.</t>
  </si>
  <si>
    <t xml:space="preserve">Para evaluar calidad operativa: usar ROIC operativo (NOPAT/Capital invertido) ~15-25%.</t>
  </si>
  <si>
    <t xml:space="preserve">Working Capital negativo</t>
  </si>
  <si>
    <t xml:space="preserve">UBER NWC &lt; 0 estructural: insurance reserves crecen con volumen.</t>
  </si>
  <si>
    <t xml:space="preserve">Cada $1 revenue libera $0.04-0.10 cash. Tailwind asset-light.</t>
  </si>
  <si>
    <t xml:space="preserve">Sensibilidad</t>
  </si>
  <si>
    <t xml:space="preserve">Tabla G (WACC×TGR): recomputo completo. Tablas A, D, F: aprox terminal.</t>
  </si>
  <si>
    <t xml:space="preserve">Anos explicitos 2026-2029 quedan en base. Adecuado dado que TV domina valor.</t>
  </si>
  <si>
    <t xml:space="preserve">  4. OBSERVACIONES CRITICAS  /  donde tener cuidado</t>
  </si>
  <si>
    <t xml:space="preserve">  • Q1 2026 take rate compression NO es colapso economico. ~9 pts del cambio reportado proviene de UK accounting change.</t>
  </si>
  <si>
    <t xml:space="preserve">  • Mobility Op Income Q1 2026 (segment) = $2,029M sobre revenue $6,798M = 29.8%. El profit margin se DEFENDIO.</t>
  </si>
  <si>
    <t xml:space="preserve">  • Stock-based comp se trata como NO cash en FCFF pero SI dilutivo: el buyback neto debe compensar la SBC.</t>
  </si>
  <si>
    <t xml:space="preserve">  • El equity stakes ($8.1B) anade ~$3.9/accion 'oculta'. No depende del DCF operativo.</t>
  </si>
  <si>
    <t xml:space="preserve">  • Freight es valor cero en caso base; cualquier mejora es upside opcional.</t>
  </si>
  <si>
    <t xml:space="preserve">  • Beta UBER ha bajado de ~1.7 a ~1.3. Si ancla en 1.0-1.1 (negocio defensivo), Ke baja ~50-100bps -&gt; precio sube.</t>
  </si>
  <si>
    <t xml:space="preserve">  • S2C de UBER puede ser &gt;5x (asset-light). Subir a 7-8x mueve el precio notablemente (ver Sens F en Modelo).</t>
  </si>
  <si>
    <t xml:space="preserve">  • Multiplo salida 16x EV/EBITDA es CONSERVADOR. Hoy cotiza ~22x trailing. Si terminal 18-20x, hay upside.</t>
  </si>
  <si>
    <t xml:space="preserve">  • ROIC operativo ~15-25% (FY2025) — ya genera valor sobre capital. La etapa 'profitable growth' esta validada.</t>
  </si>
  <si>
    <t xml:space="preserve">  5. DISCLAIMER</t>
  </si>
  <si>
    <t xml:space="preserve">Este modelo es un ejercicio analitico, no un consejo de inversion.</t>
  </si>
  <si>
    <t xml:space="preserve">Los outputs dependen completamente de los inputs en HIPOTESIS.</t>
  </si>
  <si>
    <t xml:space="preserve">El objetivo es ENTENDER las palancas de valor, no predecir un precio teorico.</t>
  </si>
  <si>
    <t xml:space="preserve">Toda la informacion historica proviene de filings publicos (SEC EDGAR).</t>
  </si>
  <si>
    <t xml:space="preserve">Construido: May 2026 con datos hasta Q1 2026 reportados (8-K May 6, 2026).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</si>
</sst>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#,##0;\(#,##0\);\-"/>
    <numFmt numFmtId="167" formatCode="0.0%;\(0.0%\);\-"/>
    <numFmt numFmtId="168" formatCode="0.0\x"/>
    <numFmt numFmtId="169" formatCode="#,##0"/>
    <numFmt numFmtId="170" formatCode="0.00%;\(0.00%\);\-"/>
    <numFmt numFmtId="171" formatCode="0.00"/>
    <numFmt numFmtId="172" formatCode="0.0"/>
    <numFmt numFmtId="173" formatCode="\$#,##0;&quot;($&quot;#,##0\);\-"/>
    <numFmt numFmtId="174" formatCode="0.000"/>
    <numFmt numFmtId="175" formatCode="0&quot; d&quot;"/>
    <numFmt numFmtId="176" formatCode="#,##0&quot; bps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i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D9E1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C0504D"/>
      <rgbColor rgb="FF2F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y Adj EBITDA  (2020-2025, 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Resumen!C131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Resumen!$D$131:$I$131</c:f>
              <c:numCache>
                <c:formatCode>0.0</c:formatCode>
                <c:ptCount val="6"/>
                <c:pt idx="0">
                  <c:v>11139</c:v>
                </c:pt>
                <c:pt idx="1">
                  <c:v>17455</c:v>
                </c:pt>
                <c:pt idx="2">
                  <c:v>31877</c:v>
                </c:pt>
                <c:pt idx="3">
                  <c:v>37281</c:v>
                </c:pt>
                <c:pt idx="4">
                  <c:v>43978</c:v>
                </c:pt>
                <c:pt idx="5">
                  <c:v>52017</c:v>
                </c:pt>
              </c:numCache>
            </c:numRef>
          </c:val>
        </c:ser>
        <c:ser>
          <c:idx val="1"/>
          <c:order val="1"/>
          <c:tx>
            <c:strRef>
              <c:f>Resumen!C132</c:f>
              <c:strCache>
                <c:ptCount val="1"/>
                <c:pt idx="0">
                  <c:v>Adj 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Resumen!$D$132:$I$132</c:f>
              <c:numCache>
                <c:formatCode>0.0</c:formatCode>
                <c:ptCount val="6"/>
                <c:pt idx="0">
                  <c:v>-2528</c:v>
                </c:pt>
                <c:pt idx="1">
                  <c:v>-774</c:v>
                </c:pt>
                <c:pt idx="2">
                  <c:v>1713</c:v>
                </c:pt>
                <c:pt idx="3">
                  <c:v>4052</c:v>
                </c:pt>
                <c:pt idx="4">
                  <c:v>6484</c:v>
                </c:pt>
                <c:pt idx="5">
                  <c:v>8730</c:v>
                </c:pt>
              </c:numCache>
            </c:numRef>
          </c:val>
        </c:ser>
        <c:gapWidth val="150"/>
        <c:overlap val="0"/>
        <c:axId val="40072621"/>
        <c:axId val="88245772"/>
      </c:barChart>
      <c:catAx>
        <c:axId val="40072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45772"/>
        <c:crosses val="autoZero"/>
        <c:auto val="1"/>
        <c:lblAlgn val="ctr"/>
        <c:lblOffset val="100"/>
        <c:noMultiLvlLbl val="0"/>
      </c:catAx>
      <c:valAx>
        <c:axId val="88245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726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Precios implicitos  ($/accion)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Resumen!D146</c:f>
              <c:strCache>
                <c:ptCount val="1"/>
                <c:pt idx="0">
                  <c:v>Precio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Resumen!$C$147:$C$152</c:f>
              <c:strCache>
                <c:ptCount val="6"/>
                <c:pt idx="0">
                  <c:v>Spot</c:v>
                </c:pt>
                <c:pt idx="1">
                  <c:v>Gordon</c:v>
                </c:pt>
                <c:pt idx="2">
                  <c:v>H-Model</c:v>
                </c:pt>
                <c:pt idx="3">
                  <c:v>EV/EBITDA</c:v>
                </c:pt>
                <c:pt idx="4">
                  <c:v>EV/EBIT</c:v>
                </c:pt>
                <c:pt idx="5">
                  <c:v>Promedio</c:v>
                </c:pt>
              </c:strCache>
            </c:strRef>
          </c:cat>
          <c:val>
            <c:numRef>
              <c:f>Resumen!$D$147:$D$152</c:f>
              <c:numCache>
                <c:formatCode>\$#,##0.00;"($"#,##0.00\);\-</c:formatCode>
                <c:ptCount val="6"/>
                <c:pt idx="0">
                  <c:v>77.11</c:v>
                </c:pt>
                <c:pt idx="1">
                  <c:v>72.9787087566356</c:v>
                </c:pt>
                <c:pt idx="2">
                  <c:v>86.288402411781</c:v>
                </c:pt>
                <c:pt idx="3">
                  <c:v>120.476422536473</c:v>
                </c:pt>
                <c:pt idx="4">
                  <c:v>126.258040376553</c:v>
                </c:pt>
                <c:pt idx="5">
                  <c:v>101.500393520361</c:v>
                </c:pt>
              </c:numCache>
            </c:numRef>
          </c:val>
        </c:ser>
        <c:gapWidth val="150"/>
        <c:overlap val="0"/>
        <c:axId val="3199439"/>
        <c:axId val="3933349"/>
      </c:barChart>
      <c:catAx>
        <c:axId val="319943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accion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3349"/>
        <c:crosses val="autoZero"/>
        <c:auto val="1"/>
        <c:lblAlgn val="ctr"/>
        <c:lblOffset val="100"/>
        <c:noMultiLvlLbl val="0"/>
      </c:catAx>
      <c:valAx>
        <c:axId val="3933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94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GAAP vs ROIC operativo  (2020-2025)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Resumen!C138</c:f>
              <c:strCache>
                <c:ptCount val="1"/>
                <c:pt idx="0">
                  <c:v>ROE GAAP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Resumen!$D$138:$I$138</c:f>
              <c:numCache>
                <c:formatCode>0.0</c:formatCode>
                <c:ptCount val="6"/>
                <c:pt idx="0">
                  <c:v>-0.551769117886842</c:v>
                </c:pt>
                <c:pt idx="1">
                  <c:v>-0.0371201915880856</c:v>
                </c:pt>
                <c:pt idx="2">
                  <c:v>-0.838700798238371</c:v>
                </c:pt>
                <c:pt idx="3">
                  <c:v>0.203023293345527</c:v>
                </c:pt>
                <c:pt idx="4">
                  <c:v>0.600847380132289</c:v>
                </c:pt>
                <c:pt idx="5">
                  <c:v>0.413712216300747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Resumen!C139</c:f>
              <c:strCache>
                <c:ptCount val="1"/>
                <c:pt idx="0">
                  <c:v>ROIC operativo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Resumen!$D$139:$I$139</c:f>
              <c:numCache>
                <c:formatCode>0.0</c:formatCode>
                <c:ptCount val="6"/>
                <c:pt idx="0">
                  <c:v>-0.305037394451146</c:v>
                </c:pt>
                <c:pt idx="1">
                  <c:v>-0.187250925984054</c:v>
                </c:pt>
                <c:pt idx="2">
                  <c:v>-0.127608501518128</c:v>
                </c:pt>
                <c:pt idx="3">
                  <c:v>0.0559266197274078</c:v>
                </c:pt>
                <c:pt idx="4">
                  <c:v>0.0869808764940239</c:v>
                </c:pt>
                <c:pt idx="5">
                  <c:v>0.145033245347322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714584"/>
        <c:axId val="80046150"/>
      </c:lineChart>
      <c:catAx>
        <c:axId val="6271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46150"/>
        <c:crosses val="autoZero"/>
        <c:auto val="1"/>
        <c:lblAlgn val="ctr"/>
        <c:lblOffset val="100"/>
        <c:noMultiLvlLbl val="0"/>
      </c:catAx>
      <c:valAx>
        <c:axId val="80046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145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Flow  (2020-2025, 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Resumen!C133</c:f>
              <c:strCache>
                <c:ptCount val="1"/>
                <c:pt idx="0">
                  <c:v>OCF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Resumen!$D$133:$I$133</c:f>
              <c:numCache>
                <c:formatCode>0.0</c:formatCode>
                <c:ptCount val="6"/>
                <c:pt idx="0">
                  <c:v>-2745</c:v>
                </c:pt>
                <c:pt idx="1">
                  <c:v>445</c:v>
                </c:pt>
                <c:pt idx="2">
                  <c:v>642</c:v>
                </c:pt>
                <c:pt idx="3">
                  <c:v>3585</c:v>
                </c:pt>
                <c:pt idx="4">
                  <c:v>7137</c:v>
                </c:pt>
                <c:pt idx="5">
                  <c:v>10099</c:v>
                </c:pt>
              </c:numCache>
            </c:numRef>
          </c:val>
        </c:ser>
        <c:ser>
          <c:idx val="1"/>
          <c:order val="1"/>
          <c:tx>
            <c:strRef>
              <c:f>Resumen!C134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Resumen!$D$134:$I$134</c:f>
              <c:numCache>
                <c:formatCode>0.0</c:formatCode>
                <c:ptCount val="6"/>
                <c:pt idx="0">
                  <c:v>-3361</c:v>
                </c:pt>
                <c:pt idx="1">
                  <c:v>238</c:v>
                </c:pt>
                <c:pt idx="2">
                  <c:v>390</c:v>
                </c:pt>
                <c:pt idx="3">
                  <c:v>3361</c:v>
                </c:pt>
                <c:pt idx="4">
                  <c:v>6895</c:v>
                </c:pt>
                <c:pt idx="5">
                  <c:v>9763</c:v>
                </c:pt>
              </c:numCache>
            </c:numRef>
          </c:val>
        </c:ser>
        <c:gapWidth val="150"/>
        <c:overlap val="0"/>
        <c:axId val="74742456"/>
        <c:axId val="9236643"/>
      </c:barChart>
      <c:catAx>
        <c:axId val="7474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6643"/>
        <c:crosses val="autoZero"/>
        <c:auto val="1"/>
        <c:lblAlgn val="ctr"/>
        <c:lblOffset val="100"/>
        <c:noMultiLvlLbl val="0"/>
      </c:catAx>
      <c:valAx>
        <c:axId val="9236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424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Bookings por segmento  (2020-2025, 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Resumen!C135</c:f>
              <c:strCache>
                <c:ptCount val="1"/>
                <c:pt idx="0">
                  <c:v>Mobility GB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Resumen!$D$135:$I$135</c:f>
              <c:numCache>
                <c:formatCode>0.0</c:formatCode>
                <c:ptCount val="6"/>
                <c:pt idx="0">
                  <c:v>26553</c:v>
                </c:pt>
                <c:pt idx="1">
                  <c:v>38713</c:v>
                </c:pt>
                <c:pt idx="2">
                  <c:v>49669</c:v>
                </c:pt>
                <c:pt idx="3">
                  <c:v>64995</c:v>
                </c:pt>
                <c:pt idx="4">
                  <c:v>81763</c:v>
                </c:pt>
                <c:pt idx="5">
                  <c:v>97497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Resumen!C136</c:f>
              <c:strCache>
                <c:ptCount val="1"/>
                <c:pt idx="0">
                  <c:v>Delivery GB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Resumen!$D$136:$I$136</c:f>
              <c:numCache>
                <c:formatCode>0.0</c:formatCode>
                <c:ptCount val="6"/>
                <c:pt idx="0">
                  <c:v>30227</c:v>
                </c:pt>
                <c:pt idx="1">
                  <c:v>51635</c:v>
                </c:pt>
                <c:pt idx="2">
                  <c:v>60048</c:v>
                </c:pt>
                <c:pt idx="3">
                  <c:v>66331</c:v>
                </c:pt>
                <c:pt idx="4">
                  <c:v>75144</c:v>
                </c:pt>
                <c:pt idx="5">
                  <c:v>90864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Resumen!C137</c:f>
              <c:strCache>
                <c:ptCount val="1"/>
                <c:pt idx="0">
                  <c:v>Freight GB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Resumen!$D$130:$I$130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Resumen!$D$137:$I$137</c:f>
              <c:numCache>
                <c:formatCode>0.0</c:formatCode>
                <c:ptCount val="6"/>
                <c:pt idx="0">
                  <c:v>1051</c:v>
                </c:pt>
                <c:pt idx="1">
                  <c:v>2132</c:v>
                </c:pt>
                <c:pt idx="2">
                  <c:v>7058</c:v>
                </c:pt>
                <c:pt idx="3">
                  <c:v>5245</c:v>
                </c:pt>
                <c:pt idx="4">
                  <c:v>5277</c:v>
                </c:pt>
                <c:pt idx="5">
                  <c:v>5141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904892"/>
        <c:axId val="97186023"/>
      </c:lineChart>
      <c:catAx>
        <c:axId val="129048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86023"/>
        <c:crosses val="autoZero"/>
        <c:auto val="1"/>
        <c:lblAlgn val="ctr"/>
        <c:lblOffset val="100"/>
        <c:noMultiLvlLbl val="0"/>
      </c:catAx>
      <c:valAx>
        <c:axId val="97186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048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GAAP vs ROIC operativo  (2020-2025)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DuPont_WC!C111</c:f>
              <c:strCache>
                <c:ptCount val="1"/>
                <c:pt idx="0">
                  <c:v>ROE GAAP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DuPont_WC!$D$111:$I$111</c:f>
              <c:numCache>
                <c:formatCode>0.0</c:formatCode>
                <c:ptCount val="6"/>
                <c:pt idx="0">
                  <c:v>-0.551769117886842</c:v>
                </c:pt>
                <c:pt idx="1">
                  <c:v>-0.0371201915880856</c:v>
                </c:pt>
                <c:pt idx="2">
                  <c:v>-0.838700798238371</c:v>
                </c:pt>
                <c:pt idx="3">
                  <c:v>0.203023293345527</c:v>
                </c:pt>
                <c:pt idx="4">
                  <c:v>0.600847380132289</c:v>
                </c:pt>
                <c:pt idx="5">
                  <c:v>0.413712216300747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DuPont_WC!C112</c:f>
              <c:strCache>
                <c:ptCount val="1"/>
                <c:pt idx="0">
                  <c:v>ROIC operativo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DuPont_WC!$D$112:$I$112</c:f>
              <c:numCache>
                <c:formatCode>0.0</c:formatCode>
                <c:ptCount val="6"/>
                <c:pt idx="0">
                  <c:v>-0.305037394451146</c:v>
                </c:pt>
                <c:pt idx="1">
                  <c:v>-0.187250925984054</c:v>
                </c:pt>
                <c:pt idx="2">
                  <c:v>-0.127608501518128</c:v>
                </c:pt>
                <c:pt idx="3">
                  <c:v>0.0559266197274078</c:v>
                </c:pt>
                <c:pt idx="4">
                  <c:v>0.0869808764940239</c:v>
                </c:pt>
                <c:pt idx="5">
                  <c:v>0.145033245347322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756395"/>
        <c:axId val="40855938"/>
      </c:lineChart>
      <c:catAx>
        <c:axId val="96756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55938"/>
        <c:crosses val="autoZero"/>
        <c:auto val="1"/>
        <c:lblAlgn val="ctr"/>
        <c:lblOffset val="100"/>
        <c:noMultiLvlLbl val="0"/>
      </c:catAx>
      <c:valAx>
        <c:axId val="40855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563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DuPont: EBIT margin &amp; Asset Turnover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DuPont_WC!C113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DuPont_WC!$D$113:$I$113</c:f>
              <c:numCache>
                <c:formatCode>0.0</c:formatCode>
                <c:ptCount val="6"/>
                <c:pt idx="0">
                  <c:v>-0.43657419876111</c:v>
                </c:pt>
                <c:pt idx="1">
                  <c:v>-0.219077628186766</c:v>
                </c:pt>
                <c:pt idx="2">
                  <c:v>-0.0574709037864291</c:v>
                </c:pt>
                <c:pt idx="3">
                  <c:v>0.0297738794560232</c:v>
                </c:pt>
                <c:pt idx="4">
                  <c:v>0.063645459093183</c:v>
                </c:pt>
                <c:pt idx="5">
                  <c:v>0.106984255147356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DuPont_WC!C114</c:f>
              <c:strCache>
                <c:ptCount val="1"/>
                <c:pt idx="0">
                  <c:v>Asset Turnover (x)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DuPont_WC!$D$114:$I$114</c:f>
              <c:numCache>
                <c:formatCode>0.0</c:formatCode>
                <c:ptCount val="6"/>
                <c:pt idx="0">
                  <c:v>0.334987369180801</c:v>
                </c:pt>
                <c:pt idx="1">
                  <c:v>0.484686085580207</c:v>
                </c:pt>
                <c:pt idx="2">
                  <c:v>0.899425814370159</c:v>
                </c:pt>
                <c:pt idx="3">
                  <c:v>1.05301660829285</c:v>
                </c:pt>
                <c:pt idx="4">
                  <c:v>0.977908230768376</c:v>
                </c:pt>
                <c:pt idx="5">
                  <c:v>0.920280239902341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88129"/>
        <c:axId val="24526649"/>
      </c:lineChart>
      <c:catAx>
        <c:axId val="95881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26649"/>
        <c:crosses val="autoZero"/>
        <c:auto val="1"/>
        <c:lblAlgn val="ctr"/>
        <c:lblOffset val="100"/>
        <c:noMultiLvlLbl val="0"/>
      </c:catAx>
      <c:valAx>
        <c:axId val="24526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81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Working Capital components  (2020-2025, 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DuPont_WC!C115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DuPont_WC!$D$115:$I$115</c:f>
              <c:numCache>
                <c:formatCode>0.0</c:formatCode>
                <c:ptCount val="6"/>
                <c:pt idx="0">
                  <c:v>1110</c:v>
                </c:pt>
                <c:pt idx="1">
                  <c:v>2439</c:v>
                </c:pt>
                <c:pt idx="2">
                  <c:v>2477</c:v>
                </c:pt>
                <c:pt idx="3">
                  <c:v>2779</c:v>
                </c:pt>
                <c:pt idx="4">
                  <c:v>3399</c:v>
                </c:pt>
                <c:pt idx="5">
                  <c:v>3850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DuPont_WC!C116</c:f>
              <c:strCache>
                <c:ptCount val="1"/>
                <c:pt idx="0">
                  <c:v>Accounts Payable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DuPont_WC!$D$116:$I$116</c:f>
              <c:numCache>
                <c:formatCode>0.0</c:formatCode>
                <c:ptCount val="6"/>
                <c:pt idx="0">
                  <c:v>235</c:v>
                </c:pt>
                <c:pt idx="1">
                  <c:v>396</c:v>
                </c:pt>
                <c:pt idx="2">
                  <c:v>622</c:v>
                </c:pt>
                <c:pt idx="3">
                  <c:v>712</c:v>
                </c:pt>
                <c:pt idx="4">
                  <c:v>858</c:v>
                </c:pt>
                <c:pt idx="5">
                  <c:v>1013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DuPont_WC!C117</c:f>
              <c:strCache>
                <c:ptCount val="1"/>
                <c:pt idx="0">
                  <c:v>Insurance reserves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DuPont_WC!$D$117:$I$117</c:f>
              <c:numCache>
                <c:formatCode>0.0</c:formatCode>
                <c:ptCount val="6"/>
                <c:pt idx="0">
                  <c:v>4055</c:v>
                </c:pt>
                <c:pt idx="1">
                  <c:v>4265</c:v>
                </c:pt>
                <c:pt idx="2">
                  <c:v>5419</c:v>
                </c:pt>
                <c:pt idx="3">
                  <c:v>6264</c:v>
                </c:pt>
                <c:pt idx="4">
                  <c:v>6856</c:v>
                </c:pt>
                <c:pt idx="5">
                  <c:v>7450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DuPont_WC!C118</c:f>
              <c:strCache>
                <c:ptCount val="1"/>
                <c:pt idx="0">
                  <c:v>NWC (negativo)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DuPont_WC!$D$118:$I$118</c:f>
              <c:numCache>
                <c:formatCode>0.0</c:formatCode>
                <c:ptCount val="6"/>
                <c:pt idx="0">
                  <c:v>-3180</c:v>
                </c:pt>
                <c:pt idx="1">
                  <c:v>-2222</c:v>
                </c:pt>
                <c:pt idx="2">
                  <c:v>-3564</c:v>
                </c:pt>
                <c:pt idx="3">
                  <c:v>-4197</c:v>
                </c:pt>
                <c:pt idx="4">
                  <c:v>-4315</c:v>
                </c:pt>
                <c:pt idx="5">
                  <c:v>-4613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099969"/>
        <c:axId val="46110427"/>
      </c:lineChart>
      <c:catAx>
        <c:axId val="22099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10427"/>
        <c:crosses val="autoZero"/>
        <c:auto val="1"/>
        <c:lblAlgn val="ctr"/>
        <c:lblOffset val="100"/>
        <c:noMultiLvlLbl val="0"/>
      </c:catAx>
      <c:valAx>
        <c:axId val="46110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999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DSO / DPO / CCC  (dias, 2020-2025)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DuPont_WC!C119</c:f>
              <c:strCache>
                <c:ptCount val="1"/>
                <c:pt idx="0">
                  <c:v>DSO (dias)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DuPont_WC!$D$119:$I$119</c:f>
              <c:numCache>
                <c:formatCode>0.0</c:formatCode>
                <c:ptCount val="6"/>
                <c:pt idx="0">
                  <c:v>36.3722057635335</c:v>
                </c:pt>
                <c:pt idx="1">
                  <c:v>51.0017187052421</c:v>
                </c:pt>
                <c:pt idx="2">
                  <c:v>28.3622988361515</c:v>
                </c:pt>
                <c:pt idx="3">
                  <c:v>27.207827043266</c:v>
                </c:pt>
                <c:pt idx="4">
                  <c:v>28.2103551775888</c:v>
                </c:pt>
                <c:pt idx="5">
                  <c:v>27.0152065670838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DuPont_WC!C120</c:f>
              <c:strCache>
                <c:ptCount val="1"/>
                <c:pt idx="0">
                  <c:v>DPO (dias)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DuPont_WC!$D$120:$I$120</c:f>
              <c:numCache>
                <c:formatCode>0.0</c:formatCode>
                <c:ptCount val="6"/>
                <c:pt idx="0">
                  <c:v>16.6424136592938</c:v>
                </c:pt>
                <c:pt idx="1">
                  <c:v>15.4571703561116</c:v>
                </c:pt>
                <c:pt idx="2">
                  <c:v>12.109558352891</c:v>
                </c:pt>
                <c:pt idx="3">
                  <c:v>12.0801375912239</c:v>
                </c:pt>
                <c:pt idx="4">
                  <c:v>11.8204121687929</c:v>
                </c:pt>
                <c:pt idx="5">
                  <c:v>11.8174699565329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DuPont_WC!C121</c:f>
              <c:strCache>
                <c:ptCount val="1"/>
                <c:pt idx="0">
                  <c:v>CCC clasico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DuPont_WC!$D$121:$I$121</c:f>
              <c:numCache>
                <c:formatCode>0.0</c:formatCode>
                <c:ptCount val="6"/>
                <c:pt idx="0">
                  <c:v>19.7297921042398</c:v>
                </c:pt>
                <c:pt idx="1">
                  <c:v>35.5445483491304</c:v>
                </c:pt>
                <c:pt idx="2">
                  <c:v>16.2527404832605</c:v>
                </c:pt>
                <c:pt idx="3">
                  <c:v>15.1276894520421</c:v>
                </c:pt>
                <c:pt idx="4">
                  <c:v>16.3899430087959</c:v>
                </c:pt>
                <c:pt idx="5">
                  <c:v>15.197736610551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DuPont_WC!C122</c:f>
              <c:strCache>
                <c:ptCount val="1"/>
                <c:pt idx="0">
                  <c:v>CCC ajustado (insur.)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DuPont_WC!$D$110:$I$110</c:f>
              <c:strCache>
                <c:ptCount val="6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2025A</c:v>
                </c:pt>
              </c:strCache>
            </c:strRef>
          </c:cat>
          <c:val>
            <c:numRef>
              <c:f>DuPont_WC!$D$122:$I$122</c:f>
              <c:numCache>
                <c:formatCode>0.0</c:formatCode>
                <c:ptCount val="6"/>
                <c:pt idx="0">
                  <c:v>-36.0106138762521</c:v>
                </c:pt>
                <c:pt idx="1">
                  <c:v>-4.66739595898316</c:v>
                </c:pt>
                <c:pt idx="2">
                  <c:v>-23.5695833001859</c:v>
                </c:pt>
                <c:pt idx="3">
                  <c:v>-20.0497857383572</c:v>
                </c:pt>
                <c:pt idx="4">
                  <c:v>-14.2160768290281</c:v>
                </c:pt>
                <c:pt idx="5">
                  <c:v>-12.6928651515545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221346"/>
        <c:axId val="81971847"/>
      </c:lineChart>
      <c:catAx>
        <c:axId val="14221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71847"/>
        <c:crosses val="autoZero"/>
        <c:auto val="1"/>
        <c:lblAlgn val="ctr"/>
        <c:lblOffset val="100"/>
        <c:noMultiLvlLbl val="0"/>
      </c:catAx>
      <c:valAx>
        <c:axId val="81971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213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FCFF base vs implicit (Metodo D)  -  $M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Reverse_DCF!C147</c:f>
              <c:strCache>
                <c:ptCount val="1"/>
                <c:pt idx="0">
                  <c:v>FCFF base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Reverse_DCF!$D$146:$I$146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Reverse_DCF!$D$147:$I$147</c:f>
              <c:numCache>
                <c:formatCode>#,##0;\(#,##0\);\-</c:formatCode>
                <c:ptCount val="6"/>
                <c:pt idx="0">
                  <c:v>9763</c:v>
                </c:pt>
                <c:pt idx="1">
                  <c:v>5544.86686092</c:v>
                </c:pt>
                <c:pt idx="2">
                  <c:v>7167.58115132688</c:v>
                </c:pt>
                <c:pt idx="3">
                  <c:v>9930.74774919336</c:v>
                </c:pt>
                <c:pt idx="4">
                  <c:v>12207.9555232249</c:v>
                </c:pt>
                <c:pt idx="5">
                  <c:v>14426.5062233965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Reverse_DCF!C148</c:f>
              <c:strCache>
                <c:ptCount val="1"/>
                <c:pt idx="0">
                  <c:v>FCFF implied (Metodo D)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Reverse_DCF!$D$146:$I$146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Reverse_DCF!$D$148:$I$148</c:f>
              <c:numCache>
                <c:formatCode>#,##0;\(#,##0\);\-</c:formatCode>
                <c:ptCount val="6"/>
                <c:pt idx="0">
                  <c:v>9763</c:v>
                </c:pt>
                <c:pt idx="1">
                  <c:v>5544.86686092</c:v>
                </c:pt>
                <c:pt idx="2">
                  <c:v>7167.58115132688</c:v>
                </c:pt>
                <c:pt idx="3">
                  <c:v>9930.74774919336</c:v>
                </c:pt>
                <c:pt idx="4">
                  <c:v>12207.9555232249</c:v>
                </c:pt>
                <c:pt idx="5">
                  <c:v>15372.1593149821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560023"/>
        <c:axId val="50946440"/>
      </c:lineChart>
      <c:catAx>
        <c:axId val="6656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46440"/>
        <c:crosses val="autoZero"/>
        <c:auto val="1"/>
        <c:lblAlgn val="ctr"/>
        <c:lblOffset val="100"/>
        <c:noMultiLvlLbl val="0"/>
      </c:catAx>
      <c:valAx>
        <c:axId val="50946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600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Implied vs Base  (% 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Reverse_DCF!D150</c:f>
              <c:strCache>
                <c:ptCount val="1"/>
                <c:pt idx="0">
                  <c:v>Implied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Reverse_DCF!$C$151:$C$153</c:f>
              <c:strCache>
                <c:ptCount val="3"/>
                <c:pt idx="0">
                  <c:v>A. Perpetual g (FCFF'30)</c:v>
                </c:pt>
                <c:pt idx="1">
                  <c:v>B. Terminal g (two-stage)</c:v>
                </c:pt>
                <c:pt idx="2">
                  <c:v>E. 5Y FCFF CAGR</c:v>
                </c:pt>
              </c:strCache>
            </c:strRef>
          </c:cat>
          <c:val>
            <c:numRef>
              <c:f>Reverse_DCF!$D$151:$D$153</c:f>
              <c:numCache>
                <c:formatCode>0.00%;\(0.00%\);\-</c:formatCode>
                <c:ptCount val="3"/>
                <c:pt idx="0">
                  <c:v>0.0115175085148841</c:v>
                </c:pt>
                <c:pt idx="1">
                  <c:v>0.030222721891789</c:v>
                </c:pt>
                <c:pt idx="2">
                  <c:v>0.0950408420793971</c:v>
                </c:pt>
              </c:numCache>
            </c:numRef>
          </c:val>
        </c:ser>
        <c:ser>
          <c:idx val="1"/>
          <c:order val="1"/>
          <c:tx>
            <c:strRef>
              <c:f>Reverse_DCF!E150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Reverse_DCF!$C$151:$C$153</c:f>
              <c:strCache>
                <c:ptCount val="3"/>
                <c:pt idx="0">
                  <c:v>A. Perpetual g (FCFF'30)</c:v>
                </c:pt>
                <c:pt idx="1">
                  <c:v>B. Terminal g (two-stage)</c:v>
                </c:pt>
                <c:pt idx="2">
                  <c:v>E. 5Y FCFF CAGR</c:v>
                </c:pt>
              </c:strCache>
            </c:strRef>
          </c:cat>
          <c:val>
            <c:numRef>
              <c:f>Reverse_DCF!$E$151:$E$153</c:f>
              <c:numCache>
                <c:formatCode>0.00%;\(0.00%\);\-</c:formatCode>
                <c:ptCount val="3"/>
                <c:pt idx="0">
                  <c:v>0.025</c:v>
                </c:pt>
                <c:pt idx="1">
                  <c:v>0.025</c:v>
                </c:pt>
                <c:pt idx="2">
                  <c:v>0.0812237471245858</c:v>
                </c:pt>
              </c:numCache>
            </c:numRef>
          </c:val>
        </c:ser>
        <c:gapWidth val="150"/>
        <c:overlap val="0"/>
        <c:axId val="21078132"/>
        <c:axId val="41930761"/>
      </c:barChart>
      <c:catAx>
        <c:axId val="21078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30761"/>
        <c:crosses val="autoZero"/>
        <c:auto val="1"/>
        <c:lblAlgn val="ctr"/>
        <c:lblOffset val="100"/>
        <c:noMultiLvlLbl val="0"/>
      </c:catAx>
      <c:valAx>
        <c:axId val="41930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;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781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19</xdr:col>
      <xdr:colOff>276840</xdr:colOff>
      <xdr:row>19</xdr:row>
      <xdr:rowOff>115560</xdr:rowOff>
    </xdr:to>
    <xdr:graphicFrame>
      <xdr:nvGraphicFramePr>
        <xdr:cNvPr id="0" name="Chart 1"/>
        <xdr:cNvGraphicFramePr/>
      </xdr:nvGraphicFramePr>
      <xdr:xfrm>
        <a:off x="9867960" y="6858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23</xdr:row>
      <xdr:rowOff>0</xdr:rowOff>
    </xdr:from>
    <xdr:to>
      <xdr:col>19</xdr:col>
      <xdr:colOff>276840</xdr:colOff>
      <xdr:row>39</xdr:row>
      <xdr:rowOff>153360</xdr:rowOff>
    </xdr:to>
    <xdr:graphicFrame>
      <xdr:nvGraphicFramePr>
        <xdr:cNvPr id="1" name="Chart 2"/>
        <xdr:cNvGraphicFramePr/>
      </xdr:nvGraphicFramePr>
      <xdr:xfrm>
        <a:off x="9867960" y="4572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43</xdr:row>
      <xdr:rowOff>0</xdr:rowOff>
    </xdr:from>
    <xdr:to>
      <xdr:col>19</xdr:col>
      <xdr:colOff>276840</xdr:colOff>
      <xdr:row>59</xdr:row>
      <xdr:rowOff>115200</xdr:rowOff>
    </xdr:to>
    <xdr:graphicFrame>
      <xdr:nvGraphicFramePr>
        <xdr:cNvPr id="2" name="Chart 3"/>
        <xdr:cNvGraphicFramePr/>
      </xdr:nvGraphicFramePr>
      <xdr:xfrm>
        <a:off x="9867960" y="84200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63</xdr:row>
      <xdr:rowOff>0</xdr:rowOff>
    </xdr:from>
    <xdr:to>
      <xdr:col>19</xdr:col>
      <xdr:colOff>276840</xdr:colOff>
      <xdr:row>79</xdr:row>
      <xdr:rowOff>153360</xdr:rowOff>
    </xdr:to>
    <xdr:graphicFrame>
      <xdr:nvGraphicFramePr>
        <xdr:cNvPr id="3" name="Chart 4"/>
        <xdr:cNvGraphicFramePr/>
      </xdr:nvGraphicFramePr>
      <xdr:xfrm>
        <a:off x="9867960" y="123062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83</xdr:row>
      <xdr:rowOff>0</xdr:rowOff>
    </xdr:from>
    <xdr:to>
      <xdr:col>19</xdr:col>
      <xdr:colOff>276840</xdr:colOff>
      <xdr:row>99</xdr:row>
      <xdr:rowOff>153360</xdr:rowOff>
    </xdr:to>
    <xdr:graphicFrame>
      <xdr:nvGraphicFramePr>
        <xdr:cNvPr id="4" name="Chart 5"/>
        <xdr:cNvGraphicFramePr/>
      </xdr:nvGraphicFramePr>
      <xdr:xfrm>
        <a:off x="9867960" y="161542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0</xdr:rowOff>
    </xdr:from>
    <xdr:to>
      <xdr:col>21</xdr:col>
      <xdr:colOff>364680</xdr:colOff>
      <xdr:row>21</xdr:row>
      <xdr:rowOff>153360</xdr:rowOff>
    </xdr:to>
    <xdr:graphicFrame>
      <xdr:nvGraphicFramePr>
        <xdr:cNvPr id="5" name="Chart 1"/>
        <xdr:cNvGraphicFramePr/>
      </xdr:nvGraphicFramePr>
      <xdr:xfrm>
        <a:off x="10738440" y="1066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25</xdr:row>
      <xdr:rowOff>0</xdr:rowOff>
    </xdr:from>
    <xdr:to>
      <xdr:col>21</xdr:col>
      <xdr:colOff>364680</xdr:colOff>
      <xdr:row>41</xdr:row>
      <xdr:rowOff>153720</xdr:rowOff>
    </xdr:to>
    <xdr:graphicFrame>
      <xdr:nvGraphicFramePr>
        <xdr:cNvPr id="6" name="Chart 2"/>
        <xdr:cNvGraphicFramePr/>
      </xdr:nvGraphicFramePr>
      <xdr:xfrm>
        <a:off x="10738440" y="4915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45</xdr:row>
      <xdr:rowOff>0</xdr:rowOff>
    </xdr:from>
    <xdr:to>
      <xdr:col>21</xdr:col>
      <xdr:colOff>364680</xdr:colOff>
      <xdr:row>61</xdr:row>
      <xdr:rowOff>153720</xdr:rowOff>
    </xdr:to>
    <xdr:graphicFrame>
      <xdr:nvGraphicFramePr>
        <xdr:cNvPr id="7" name="Chart 3"/>
        <xdr:cNvGraphicFramePr/>
      </xdr:nvGraphicFramePr>
      <xdr:xfrm>
        <a:off x="10738440" y="8763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65</xdr:row>
      <xdr:rowOff>0</xdr:rowOff>
    </xdr:from>
    <xdr:to>
      <xdr:col>21</xdr:col>
      <xdr:colOff>364680</xdr:colOff>
      <xdr:row>81</xdr:row>
      <xdr:rowOff>153720</xdr:rowOff>
    </xdr:to>
    <xdr:graphicFrame>
      <xdr:nvGraphicFramePr>
        <xdr:cNvPr id="8" name="Chart 4"/>
        <xdr:cNvGraphicFramePr/>
      </xdr:nvGraphicFramePr>
      <xdr:xfrm>
        <a:off x="10738440" y="12611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6</xdr:row>
      <xdr:rowOff>0</xdr:rowOff>
    </xdr:from>
    <xdr:to>
      <xdr:col>19</xdr:col>
      <xdr:colOff>276840</xdr:colOff>
      <xdr:row>22</xdr:row>
      <xdr:rowOff>153720</xdr:rowOff>
    </xdr:to>
    <xdr:graphicFrame>
      <xdr:nvGraphicFramePr>
        <xdr:cNvPr id="9" name="Chart 1"/>
        <xdr:cNvGraphicFramePr/>
      </xdr:nvGraphicFramePr>
      <xdr:xfrm>
        <a:off x="11347920" y="12574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26</xdr:row>
      <xdr:rowOff>0</xdr:rowOff>
    </xdr:from>
    <xdr:to>
      <xdr:col>19</xdr:col>
      <xdr:colOff>276840</xdr:colOff>
      <xdr:row>42</xdr:row>
      <xdr:rowOff>153720</xdr:rowOff>
    </xdr:to>
    <xdr:graphicFrame>
      <xdr:nvGraphicFramePr>
        <xdr:cNvPr id="10" name="Chart 2"/>
        <xdr:cNvGraphicFramePr/>
      </xdr:nvGraphicFramePr>
      <xdr:xfrm>
        <a:off x="11347920" y="5105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21" min="12" style="0" width="1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B2" s="2" t="s">
        <v>1</v>
      </c>
      <c r="C2" s="3" t="s">
        <v>2</v>
      </c>
      <c r="D2" s="4" t="s">
        <v>3</v>
      </c>
      <c r="E2" s="5" t="s">
        <v>4</v>
      </c>
      <c r="F2" s="4" t="s">
        <v>5</v>
      </c>
      <c r="G2" s="6" t="s">
        <v>6</v>
      </c>
      <c r="H2" s="4" t="s">
        <v>7</v>
      </c>
      <c r="I2" s="7" t="s">
        <v>8</v>
      </c>
      <c r="J2" s="4" t="s">
        <v>9</v>
      </c>
      <c r="K2" s="8" t="s">
        <v>10</v>
      </c>
      <c r="L2" s="4" t="s">
        <v>11</v>
      </c>
    </row>
    <row r="4" customFormat="false" ht="18" hidden="false" customHeight="true" outlineLevel="0" collapsed="false">
      <c r="A4" s="9" t="s">
        <v>12</v>
      </c>
      <c r="B4" s="9"/>
      <c r="C4" s="9"/>
      <c r="D4" s="9"/>
      <c r="E4" s="9"/>
      <c r="F4" s="9"/>
      <c r="G4" s="9"/>
      <c r="H4" s="9"/>
      <c r="I4" s="9"/>
      <c r="J4" s="9"/>
    </row>
    <row r="6" customFormat="false" ht="15" hidden="false" customHeight="false" outlineLevel="0" collapsed="false">
      <c r="B6" s="10" t="s">
        <v>13</v>
      </c>
      <c r="C6" s="10"/>
      <c r="D6" s="10" t="s">
        <v>14</v>
      </c>
      <c r="E6" s="10"/>
      <c r="F6" s="10" t="s">
        <v>15</v>
      </c>
      <c r="G6" s="10"/>
      <c r="H6" s="10" t="s">
        <v>16</v>
      </c>
      <c r="I6" s="10"/>
    </row>
    <row r="7" customFormat="false" ht="15" hidden="false" customHeight="false" outlineLevel="0" collapsed="false">
      <c r="B7" s="11" t="s">
        <v>17</v>
      </c>
      <c r="C7" s="12" t="n">
        <f aca="false">Hipotesis!D55</f>
        <v>77.11</v>
      </c>
      <c r="D7" s="11" t="s">
        <v>18</v>
      </c>
      <c r="E7" s="12" t="n">
        <f aca="false">MEDIAN(Modelo!D128:G128)</f>
        <v>103.382412474127</v>
      </c>
      <c r="F7" s="11" t="s">
        <v>19</v>
      </c>
      <c r="G7" s="13" t="n">
        <f aca="false">Historico!I7</f>
        <v>52017</v>
      </c>
      <c r="H7" s="11" t="s">
        <v>20</v>
      </c>
      <c r="I7" s="14" t="n">
        <f aca="false">DuPont_WC!I37</f>
        <v>0.145033245347322</v>
      </c>
    </row>
    <row r="8" customFormat="false" ht="15" hidden="false" customHeight="false" outlineLevel="0" collapsed="false">
      <c r="B8" s="11" t="s">
        <v>21</v>
      </c>
      <c r="C8" s="13" t="n">
        <f aca="false">Hipotesis!D55*Hipotesis!D46/1000</f>
        <v>159724.96001</v>
      </c>
      <c r="D8" s="11" t="s">
        <v>22</v>
      </c>
      <c r="E8" s="12" t="n">
        <f aca="false">AVERAGE(Modelo!D128:G128)</f>
        <v>101.500393520361</v>
      </c>
      <c r="F8" s="11" t="s">
        <v>23</v>
      </c>
      <c r="G8" s="13" t="n">
        <f aca="false">Historico!I17</f>
        <v>5565</v>
      </c>
      <c r="H8" s="11" t="s">
        <v>24</v>
      </c>
      <c r="I8" s="14" t="n">
        <f aca="false">Historico!I18</f>
        <v>0.106984255147356</v>
      </c>
    </row>
    <row r="9" customFormat="false" ht="15" hidden="false" customHeight="false" outlineLevel="0" collapsed="false">
      <c r="B9" s="11" t="s">
        <v>25</v>
      </c>
      <c r="C9" s="13" t="n">
        <f aca="false">Hipotesis!D55*Hipotesis!D46/1000+Hipotesis!D51-Hipotesis!D49-Hipotesis!D50-Hipotesis!D52-Hipotesis!D53+Hipotesis!D54</f>
        <v>156831.96001</v>
      </c>
      <c r="D9" s="11" t="s">
        <v>26</v>
      </c>
      <c r="E9" s="14" t="n">
        <f aca="false">MEDIAN(Modelo!D128:G128)/Hipotesis!D55-1</f>
        <v>0.340713428532321</v>
      </c>
      <c r="F9" s="11" t="s">
        <v>27</v>
      </c>
      <c r="G9" s="13" t="n">
        <f aca="false">Historico!I26</f>
        <v>8730</v>
      </c>
      <c r="H9" s="11" t="s">
        <v>28</v>
      </c>
      <c r="I9" s="14" t="n">
        <f aca="false">Historico!I63</f>
        <v>0.187688640252225</v>
      </c>
    </row>
    <row r="10" customFormat="false" ht="15" hidden="false" customHeight="false" outlineLevel="0" collapsed="false">
      <c r="B10" s="11" t="s">
        <v>29</v>
      </c>
      <c r="C10" s="15" t="s">
        <v>30</v>
      </c>
      <c r="D10" s="11" t="s">
        <v>31</v>
      </c>
      <c r="E10" s="16" t="n">
        <f aca="false">$C$9/Modelo!F72</f>
        <v>16.8800002601453</v>
      </c>
      <c r="F10" s="11" t="s">
        <v>32</v>
      </c>
      <c r="G10" s="13" t="n">
        <f aca="false">Historico!I62</f>
        <v>9763</v>
      </c>
      <c r="H10" s="11" t="s">
        <v>33</v>
      </c>
      <c r="I10" s="13" t="n">
        <f aca="false">DuPont_WC!I64</f>
        <v>-4613</v>
      </c>
    </row>
    <row r="11" customFormat="false" ht="15" hidden="false" customHeight="false" outlineLevel="0" collapsed="false">
      <c r="B11" s="11" t="s">
        <v>34</v>
      </c>
      <c r="C11" s="17" t="n">
        <f aca="false">Hipotesis!D46</f>
        <v>2071391</v>
      </c>
      <c r="D11" s="11" t="s">
        <v>35</v>
      </c>
      <c r="E11" s="16" t="n">
        <f aca="false">$C$9/Modelo!F62</f>
        <v>18.4792518407635</v>
      </c>
      <c r="F11" s="11" t="s">
        <v>36</v>
      </c>
      <c r="G11" s="18" t="n">
        <v>13203</v>
      </c>
      <c r="H11" s="11" t="s">
        <v>37</v>
      </c>
      <c r="I11" s="13" t="n">
        <f aca="false">DuPont_WC!I57</f>
        <v>7450</v>
      </c>
    </row>
    <row r="13" customFormat="false" ht="15" hidden="false" customHeight="false" outlineLevel="0" collapsed="false">
      <c r="B13" s="2" t="s">
        <v>38</v>
      </c>
      <c r="C13" s="19" t="s">
        <v>39</v>
      </c>
      <c r="D13" s="19"/>
      <c r="E13" s="19"/>
      <c r="F13" s="19"/>
      <c r="G13" s="19"/>
      <c r="H13" s="19"/>
      <c r="I13" s="19"/>
      <c r="J13" s="19"/>
    </row>
    <row r="14" customFormat="false" ht="15" hidden="false" customHeight="false" outlineLevel="0" collapsed="false">
      <c r="B14" s="2" t="s">
        <v>40</v>
      </c>
      <c r="C14" s="20" t="s">
        <v>41</v>
      </c>
      <c r="D14" s="20"/>
      <c r="E14" s="20"/>
      <c r="F14" s="20"/>
      <c r="G14" s="20"/>
      <c r="H14" s="20"/>
      <c r="I14" s="20"/>
      <c r="J14" s="20"/>
    </row>
    <row r="16" customFormat="false" ht="18" hidden="false" customHeight="true" outlineLevel="0" collapsed="false">
      <c r="A16" s="9" t="s">
        <v>42</v>
      </c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B17" s="11" t="s">
        <v>43</v>
      </c>
      <c r="D17" s="21" t="n">
        <v>53720</v>
      </c>
      <c r="E17" s="20" t="s">
        <v>44</v>
      </c>
      <c r="F17" s="20"/>
      <c r="G17" s="20"/>
      <c r="H17" s="20"/>
      <c r="I17" s="20"/>
      <c r="J17" s="20"/>
    </row>
    <row r="18" customFormat="false" ht="15" hidden="false" customHeight="false" outlineLevel="0" collapsed="false">
      <c r="B18" s="11" t="s">
        <v>45</v>
      </c>
      <c r="D18" s="21" t="n">
        <v>13203</v>
      </c>
      <c r="E18" s="20" t="s">
        <v>46</v>
      </c>
      <c r="F18" s="20"/>
      <c r="G18" s="20"/>
      <c r="H18" s="20"/>
      <c r="I18" s="20"/>
      <c r="J18" s="20"/>
    </row>
    <row r="19" customFormat="false" ht="15" hidden="false" customHeight="false" outlineLevel="0" collapsed="false">
      <c r="B19" s="11" t="s">
        <v>47</v>
      </c>
      <c r="D19" s="21" t="n">
        <v>1923</v>
      </c>
      <c r="E19" s="20" t="s">
        <v>48</v>
      </c>
      <c r="F19" s="20"/>
      <c r="G19" s="20"/>
      <c r="H19" s="20"/>
      <c r="I19" s="20"/>
      <c r="J19" s="20"/>
    </row>
    <row r="20" customFormat="false" ht="15" hidden="false" customHeight="false" outlineLevel="0" collapsed="false">
      <c r="B20" s="11" t="s">
        <v>49</v>
      </c>
      <c r="D20" s="21" t="n">
        <v>2481</v>
      </c>
      <c r="E20" s="20" t="s">
        <v>50</v>
      </c>
      <c r="F20" s="20"/>
      <c r="G20" s="20"/>
      <c r="H20" s="20"/>
      <c r="I20" s="20"/>
      <c r="J20" s="20"/>
    </row>
    <row r="21" customFormat="false" ht="15" hidden="false" customHeight="false" outlineLevel="0" collapsed="false">
      <c r="B21" s="11" t="s">
        <v>51</v>
      </c>
      <c r="D21" s="21" t="n">
        <v>1883</v>
      </c>
      <c r="E21" s="20" t="s">
        <v>52</v>
      </c>
      <c r="F21" s="20"/>
      <c r="G21" s="20"/>
      <c r="H21" s="20"/>
      <c r="I21" s="20"/>
      <c r="J21" s="20"/>
    </row>
    <row r="22" customFormat="false" ht="15" hidden="false" customHeight="false" outlineLevel="0" collapsed="false">
      <c r="B22" s="11" t="s">
        <v>53</v>
      </c>
      <c r="D22" s="21" t="n">
        <v>2286</v>
      </c>
      <c r="E22" s="20" t="s">
        <v>54</v>
      </c>
      <c r="F22" s="20"/>
      <c r="G22" s="20"/>
      <c r="H22" s="20"/>
      <c r="I22" s="20"/>
      <c r="J22" s="20"/>
    </row>
    <row r="23" customFormat="false" ht="15" hidden="false" customHeight="false" outlineLevel="0" collapsed="false">
      <c r="B23" s="2" t="s">
        <v>55</v>
      </c>
      <c r="D23" s="21" t="n">
        <v>26394</v>
      </c>
      <c r="E23" s="20" t="s">
        <v>56</v>
      </c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2" t="s">
        <v>57</v>
      </c>
      <c r="D24" s="21" t="n">
        <v>6798</v>
      </c>
      <c r="E24" s="20" t="s">
        <v>58</v>
      </c>
      <c r="F24" s="20"/>
      <c r="G24" s="20"/>
      <c r="H24" s="20"/>
      <c r="I24" s="20"/>
      <c r="J24" s="20"/>
    </row>
    <row r="25" customFormat="false" ht="15" hidden="false" customHeight="false" outlineLevel="0" collapsed="false">
      <c r="B25" s="2" t="s">
        <v>59</v>
      </c>
      <c r="D25" s="21" t="n">
        <v>2029</v>
      </c>
      <c r="E25" s="20" t="s">
        <v>60</v>
      </c>
      <c r="F25" s="20"/>
      <c r="G25" s="20"/>
      <c r="H25" s="20"/>
      <c r="I25" s="20"/>
      <c r="J25" s="20"/>
    </row>
    <row r="26" customFormat="false" ht="15" hidden="false" customHeight="false" outlineLevel="0" collapsed="false">
      <c r="B26" s="2" t="s">
        <v>61</v>
      </c>
      <c r="D26" s="21" t="n">
        <v>25992</v>
      </c>
      <c r="E26" s="20" t="s">
        <v>62</v>
      </c>
      <c r="F26" s="20"/>
      <c r="G26" s="20"/>
      <c r="H26" s="20"/>
      <c r="I26" s="20"/>
      <c r="J26" s="20"/>
    </row>
    <row r="27" customFormat="false" ht="15" hidden="false" customHeight="false" outlineLevel="0" collapsed="false">
      <c r="B27" s="2" t="s">
        <v>63</v>
      </c>
      <c r="D27" s="21" t="n">
        <v>5068</v>
      </c>
      <c r="E27" s="20" t="s">
        <v>64</v>
      </c>
      <c r="F27" s="20"/>
      <c r="G27" s="20"/>
      <c r="H27" s="20"/>
      <c r="I27" s="20"/>
      <c r="J27" s="20"/>
    </row>
    <row r="28" customFormat="false" ht="15" hidden="false" customHeight="false" outlineLevel="0" collapsed="false">
      <c r="B28" s="2" t="s">
        <v>65</v>
      </c>
      <c r="D28" s="21" t="n">
        <v>961</v>
      </c>
      <c r="E28" s="20" t="s">
        <v>66</v>
      </c>
      <c r="F28" s="20"/>
      <c r="G28" s="20"/>
      <c r="H28" s="20"/>
      <c r="I28" s="20"/>
      <c r="J28" s="20"/>
    </row>
    <row r="29" customFormat="false" ht="15" hidden="false" customHeight="false" outlineLevel="0" collapsed="false">
      <c r="B29" s="2" t="s">
        <v>67</v>
      </c>
      <c r="D29" s="21" t="n">
        <v>1337</v>
      </c>
      <c r="E29" s="20" t="s">
        <v>68</v>
      </c>
      <c r="F29" s="20"/>
      <c r="G29" s="20"/>
      <c r="H29" s="20"/>
      <c r="I29" s="20"/>
      <c r="J29" s="20"/>
    </row>
    <row r="30" customFormat="false" ht="15" hidden="false" customHeight="false" outlineLevel="0" collapsed="false">
      <c r="B30" s="11" t="s">
        <v>69</v>
      </c>
      <c r="D30" s="21" t="n">
        <v>3000</v>
      </c>
      <c r="E30" s="20" t="s">
        <v>70</v>
      </c>
      <c r="F30" s="20"/>
      <c r="G30" s="20"/>
      <c r="H30" s="20"/>
      <c r="I30" s="20"/>
      <c r="J30" s="20"/>
    </row>
    <row r="33" customFormat="false" ht="18" hidden="false" customHeight="true" outlineLevel="0" collapsed="false">
      <c r="A33" s="9" t="s">
        <v>71</v>
      </c>
      <c r="B33" s="9"/>
      <c r="C33" s="9"/>
      <c r="D33" s="9"/>
      <c r="E33" s="9"/>
      <c r="F33" s="9"/>
      <c r="G33" s="9"/>
      <c r="H33" s="9"/>
      <c r="I33" s="9"/>
      <c r="J33" s="9"/>
    </row>
    <row r="34" customFormat="false" ht="15" hidden="false" customHeight="false" outlineLevel="0" collapsed="false">
      <c r="D34" s="22" t="s">
        <v>72</v>
      </c>
      <c r="E34" s="22" t="s">
        <v>73</v>
      </c>
      <c r="F34" s="22" t="s">
        <v>74</v>
      </c>
      <c r="G34" s="22" t="s">
        <v>75</v>
      </c>
      <c r="H34" s="22" t="s">
        <v>76</v>
      </c>
    </row>
    <row r="35" customFormat="false" ht="15" hidden="false" customHeight="false" outlineLevel="0" collapsed="false">
      <c r="B35" s="2" t="s">
        <v>77</v>
      </c>
      <c r="D35" s="23" t="n">
        <f aca="false">Historico!E7</f>
        <v>17455</v>
      </c>
      <c r="E35" s="23" t="n">
        <f aca="false">Historico!F7</f>
        <v>31877</v>
      </c>
      <c r="F35" s="23" t="n">
        <f aca="false">Historico!G7</f>
        <v>37281</v>
      </c>
      <c r="G35" s="23" t="n">
        <f aca="false">Historico!H7</f>
        <v>43978</v>
      </c>
      <c r="H35" s="23" t="n">
        <f aca="false">Historico!I7</f>
        <v>52017</v>
      </c>
    </row>
    <row r="36" customFormat="false" ht="15" hidden="false" customHeight="false" outlineLevel="0" collapsed="false">
      <c r="B36" s="24" t="s">
        <v>78</v>
      </c>
      <c r="D36" s="25" t="n">
        <f aca="false">Historico!E8</f>
        <v>0.567016787862465</v>
      </c>
      <c r="E36" s="25" t="n">
        <f aca="false">Historico!F8</f>
        <v>0.826238900028645</v>
      </c>
      <c r="F36" s="25" t="n">
        <f aca="false">Historico!G8</f>
        <v>0.169526617937698</v>
      </c>
      <c r="G36" s="25" t="n">
        <f aca="false">Historico!H8</f>
        <v>0.179635739384673</v>
      </c>
      <c r="H36" s="25" t="n">
        <f aca="false">Historico!I8</f>
        <v>0.182795943426259</v>
      </c>
    </row>
    <row r="37" customFormat="false" ht="15" hidden="false" customHeight="false" outlineLevel="0" collapsed="false">
      <c r="B37" s="2" t="s">
        <v>79</v>
      </c>
      <c r="D37" s="23" t="n">
        <f aca="false">Historico!E26</f>
        <v>-774</v>
      </c>
      <c r="E37" s="23" t="n">
        <f aca="false">Historico!F26</f>
        <v>1713</v>
      </c>
      <c r="F37" s="23" t="n">
        <f aca="false">Historico!G26</f>
        <v>4052</v>
      </c>
      <c r="G37" s="23" t="n">
        <f aca="false">Historico!H26</f>
        <v>6484</v>
      </c>
      <c r="H37" s="23" t="n">
        <f aca="false">Historico!I26</f>
        <v>8730</v>
      </c>
    </row>
    <row r="38" customFormat="false" ht="15" hidden="false" customHeight="false" outlineLevel="0" collapsed="false">
      <c r="B38" s="24" t="s">
        <v>80</v>
      </c>
      <c r="D38" s="25" t="n">
        <f aca="false">Historico!E27</f>
        <v>-0.0443425952449155</v>
      </c>
      <c r="E38" s="25" t="n">
        <f aca="false">Historico!F27</f>
        <v>0.0537378046867648</v>
      </c>
      <c r="F38" s="25" t="n">
        <f aca="false">Historico!G27</f>
        <v>0.108688071671897</v>
      </c>
      <c r="G38" s="25" t="n">
        <f aca="false">Historico!H27</f>
        <v>0.147437355041157</v>
      </c>
      <c r="H38" s="25" t="n">
        <f aca="false">Historico!I27</f>
        <v>0.167829747967011</v>
      </c>
    </row>
    <row r="39" customFormat="false" ht="15" hidden="false" customHeight="false" outlineLevel="0" collapsed="false">
      <c r="B39" s="2" t="s">
        <v>81</v>
      </c>
      <c r="D39" s="23" t="n">
        <f aca="false">Historico!E62</f>
        <v>238</v>
      </c>
      <c r="E39" s="23" t="n">
        <f aca="false">Historico!F62</f>
        <v>390</v>
      </c>
      <c r="F39" s="23" t="n">
        <f aca="false">Historico!G62</f>
        <v>3361</v>
      </c>
      <c r="G39" s="23" t="n">
        <f aca="false">Historico!H62</f>
        <v>6895</v>
      </c>
      <c r="H39" s="23" t="n">
        <f aca="false">Historico!I62</f>
        <v>9763</v>
      </c>
    </row>
    <row r="40" customFormat="false" ht="15" hidden="false" customHeight="false" outlineLevel="0" collapsed="false">
      <c r="B40" s="24" t="s">
        <v>82</v>
      </c>
      <c r="D40" s="25" t="n">
        <f aca="false">Historico!E63</f>
        <v>0.0136350615869378</v>
      </c>
      <c r="E40" s="25" t="n">
        <f aca="false">Historico!F63</f>
        <v>0.0122345264610848</v>
      </c>
      <c r="F40" s="25" t="n">
        <f aca="false">Historico!G63</f>
        <v>0.0901531611276522</v>
      </c>
      <c r="G40" s="25" t="n">
        <f aca="false">Historico!H63</f>
        <v>0.156782936923007</v>
      </c>
      <c r="H40" s="25" t="n">
        <f aca="false">Historico!I63</f>
        <v>0.187688640252225</v>
      </c>
    </row>
    <row r="41" customFormat="false" ht="15" hidden="false" customHeight="false" outlineLevel="0" collapsed="false">
      <c r="B41" s="2" t="s">
        <v>83</v>
      </c>
      <c r="D41" s="23" t="n">
        <f aca="false">Historico!E49</f>
        <v>38774</v>
      </c>
      <c r="E41" s="23" t="n">
        <f aca="false">Historico!F49</f>
        <v>32109</v>
      </c>
      <c r="F41" s="23" t="n">
        <f aca="false">Historico!G49</f>
        <v>38699</v>
      </c>
      <c r="G41" s="23" t="n">
        <f aca="false">Historico!H49</f>
        <v>51244</v>
      </c>
      <c r="H41" s="23" t="n">
        <f aca="false">Historico!I49</f>
        <v>61802</v>
      </c>
    </row>
    <row r="42" customFormat="false" ht="15" hidden="false" customHeight="false" outlineLevel="0" collapsed="false">
      <c r="B42" s="2" t="s">
        <v>84</v>
      </c>
      <c r="D42" s="23" t="n">
        <f aca="false">Historico!E50</f>
        <v>14458</v>
      </c>
      <c r="E42" s="23" t="n">
        <f aca="false">Historico!F50</f>
        <v>7340</v>
      </c>
      <c r="F42" s="23" t="n">
        <f aca="false">Historico!G50</f>
        <v>11249</v>
      </c>
      <c r="G42" s="23" t="n">
        <f aca="false">Historico!H50</f>
        <v>21558</v>
      </c>
      <c r="H42" s="23" t="n">
        <f aca="false">Historico!I50</f>
        <v>27041</v>
      </c>
    </row>
    <row r="43" customFormat="false" ht="15" hidden="false" customHeight="false" outlineLevel="0" collapsed="false">
      <c r="B43" s="2" t="s">
        <v>85</v>
      </c>
      <c r="D43" s="23" t="n">
        <f aca="false">Historico!E52</f>
        <v>9276</v>
      </c>
      <c r="E43" s="23" t="n">
        <f aca="false">Historico!F52</f>
        <v>9265</v>
      </c>
      <c r="F43" s="23" t="n">
        <f aca="false">Historico!G52</f>
        <v>9456</v>
      </c>
      <c r="G43" s="23" t="n">
        <f aca="false">Historico!H52</f>
        <v>10579</v>
      </c>
      <c r="H43" s="23" t="n">
        <f aca="false">Historico!I52</f>
        <v>10521</v>
      </c>
    </row>
    <row r="44" customFormat="false" ht="15" hidden="false" customHeight="false" outlineLevel="0" collapsed="false">
      <c r="B44" s="2" t="s">
        <v>86</v>
      </c>
      <c r="D44" s="26" t="n">
        <f aca="false">Historico!E65</f>
        <v>1903053</v>
      </c>
      <c r="E44" s="26" t="n">
        <f aca="false">Historico!F65</f>
        <v>1992188</v>
      </c>
      <c r="F44" s="26" t="n">
        <f aca="false">Historico!G65</f>
        <v>2068999</v>
      </c>
      <c r="G44" s="26" t="n">
        <f aca="false">Historico!H65</f>
        <v>2096810</v>
      </c>
      <c r="H44" s="26" t="n">
        <f aca="false">Historico!I65</f>
        <v>2119689</v>
      </c>
    </row>
    <row r="47" customFormat="false" ht="18" hidden="false" customHeight="true" outlineLevel="0" collapsed="false">
      <c r="A47" s="9" t="s">
        <v>87</v>
      </c>
      <c r="B47" s="9"/>
      <c r="C47" s="9"/>
      <c r="D47" s="9"/>
      <c r="E47" s="9"/>
      <c r="F47" s="9"/>
      <c r="G47" s="9"/>
      <c r="H47" s="9"/>
      <c r="I47" s="9"/>
      <c r="J47" s="9"/>
    </row>
    <row r="48" customFormat="false" ht="15" hidden="false" customHeight="false" outlineLevel="0" collapsed="false">
      <c r="B48" s="2" t="s">
        <v>88</v>
      </c>
      <c r="D48" s="27" t="n">
        <f aca="false">$C$9/Modelo!F55</f>
        <v>2.73066283956595</v>
      </c>
    </row>
    <row r="49" customFormat="false" ht="15" hidden="false" customHeight="false" outlineLevel="0" collapsed="false">
      <c r="B49" s="2" t="s">
        <v>89</v>
      </c>
      <c r="D49" s="27" t="n">
        <f aca="false">$C$9/Modelo!F72</f>
        <v>16.8800002601453</v>
      </c>
    </row>
    <row r="50" customFormat="false" ht="15" hidden="false" customHeight="false" outlineLevel="0" collapsed="false">
      <c r="B50" s="2" t="s">
        <v>90</v>
      </c>
      <c r="D50" s="27" t="n">
        <f aca="false">$C$9/Modelo!F62</f>
        <v>18.4792518407635</v>
      </c>
    </row>
    <row r="51" customFormat="false" ht="15" hidden="false" customHeight="false" outlineLevel="0" collapsed="false">
      <c r="B51" s="2" t="s">
        <v>91</v>
      </c>
      <c r="D51" s="27" t="n">
        <f aca="false">$C$9/Modelo!F75</f>
        <v>28.2841705569786</v>
      </c>
    </row>
    <row r="52" customFormat="false" ht="15" hidden="false" customHeight="false" outlineLevel="0" collapsed="false">
      <c r="B52" s="2" t="s">
        <v>92</v>
      </c>
      <c r="D52" s="27" t="n">
        <f aca="false">$C$9/Modelo!F38</f>
        <v>0.672381343668061</v>
      </c>
    </row>
    <row r="53" customFormat="false" ht="15" hidden="false" customHeight="false" outlineLevel="0" collapsed="false">
      <c r="B53" s="2" t="s">
        <v>93</v>
      </c>
      <c r="D53" s="27" t="n">
        <f aca="false">(Hipotesis!D55*Hipotesis!D46/1000)/Historico!I62</f>
        <v>16.3602335357984</v>
      </c>
    </row>
    <row r="56" customFormat="false" ht="18" hidden="false" customHeight="true" outlineLevel="0" collapsed="false">
      <c r="A56" s="9" t="s">
        <v>94</v>
      </c>
      <c r="B56" s="9"/>
      <c r="C56" s="9"/>
      <c r="D56" s="9"/>
      <c r="E56" s="9"/>
      <c r="F56" s="9"/>
      <c r="G56" s="9"/>
      <c r="H56" s="9"/>
      <c r="I56" s="9"/>
      <c r="J56" s="9"/>
    </row>
    <row r="57" customFormat="false" ht="15" hidden="false" customHeight="false" outlineLevel="0" collapsed="false">
      <c r="B57" s="28" t="s">
        <v>95</v>
      </c>
      <c r="C57" s="29"/>
      <c r="D57" s="22" t="s">
        <v>96</v>
      </c>
      <c r="E57" s="22" t="s">
        <v>97</v>
      </c>
      <c r="F57" s="28" t="s">
        <v>98</v>
      </c>
      <c r="G57" s="28"/>
      <c r="H57" s="28"/>
      <c r="I57" s="28"/>
      <c r="J57" s="28"/>
    </row>
    <row r="58" customFormat="false" ht="15" hidden="false" customHeight="false" outlineLevel="0" collapsed="false">
      <c r="B58" s="2" t="s">
        <v>99</v>
      </c>
      <c r="D58" s="30" t="n">
        <f aca="false">Modelo!D128</f>
        <v>72.9787087566356</v>
      </c>
      <c r="E58" s="31" t="n">
        <f aca="false">D58/Hipotesis!$D$55-1</f>
        <v>-0.053576595037795</v>
      </c>
      <c r="F58" s="20" t="s">
        <v>100</v>
      </c>
      <c r="G58" s="20"/>
      <c r="H58" s="20"/>
      <c r="I58" s="20"/>
      <c r="J58" s="20"/>
    </row>
    <row r="59" customFormat="false" ht="15" hidden="false" customHeight="false" outlineLevel="0" collapsed="false">
      <c r="B59" s="2" t="s">
        <v>101</v>
      </c>
      <c r="D59" s="30" t="n">
        <f aca="false">Modelo!E128</f>
        <v>86.288402411781</v>
      </c>
      <c r="E59" s="31" t="n">
        <f aca="false">D59/Hipotesis!$D$55-1</f>
        <v>0.119029988481144</v>
      </c>
      <c r="F59" s="20" t="s">
        <v>102</v>
      </c>
      <c r="G59" s="20"/>
      <c r="H59" s="20"/>
      <c r="I59" s="20"/>
      <c r="J59" s="20"/>
    </row>
    <row r="60" customFormat="false" ht="15" hidden="false" customHeight="false" outlineLevel="0" collapsed="false">
      <c r="B60" s="2" t="s">
        <v>103</v>
      </c>
      <c r="D60" s="30" t="n">
        <f aca="false">Modelo!F128</f>
        <v>120.476422536473</v>
      </c>
      <c r="E60" s="31" t="n">
        <f aca="false">D60/Hipotesis!$D$55-1</f>
        <v>0.562396868583497</v>
      </c>
      <c r="F60" s="20" t="s">
        <v>104</v>
      </c>
      <c r="G60" s="20"/>
      <c r="H60" s="20"/>
      <c r="I60" s="20"/>
      <c r="J60" s="20"/>
    </row>
    <row r="61" customFormat="false" ht="15" hidden="false" customHeight="false" outlineLevel="0" collapsed="false">
      <c r="B61" s="2" t="s">
        <v>105</v>
      </c>
      <c r="D61" s="30" t="n">
        <f aca="false">Modelo!G128</f>
        <v>126.258040376553</v>
      </c>
      <c r="E61" s="31" t="n">
        <f aca="false">D61/Hipotesis!$D$55-1</f>
        <v>0.637375701939473</v>
      </c>
      <c r="F61" s="20" t="s">
        <v>106</v>
      </c>
      <c r="G61" s="20"/>
      <c r="H61" s="20"/>
      <c r="I61" s="20"/>
      <c r="J61" s="20"/>
    </row>
    <row r="62" customFormat="false" ht="15" hidden="false" customHeight="false" outlineLevel="0" collapsed="false">
      <c r="B62" s="2" t="s">
        <v>107</v>
      </c>
      <c r="D62" s="30" t="n">
        <f aca="false">Modelo!H128</f>
        <v>101.500393520361</v>
      </c>
      <c r="E62" s="31" t="n">
        <f aca="false">D62/Hipotesis!$D$55-1</f>
        <v>0.31630649099158</v>
      </c>
      <c r="F62" s="20" t="s">
        <v>108</v>
      </c>
      <c r="G62" s="20"/>
      <c r="H62" s="20"/>
      <c r="I62" s="20"/>
      <c r="J62" s="20"/>
    </row>
    <row r="64" customFormat="false" ht="15" hidden="false" customHeight="false" outlineLevel="0" collapsed="false">
      <c r="B64" s="2" t="s">
        <v>109</v>
      </c>
      <c r="D64" s="32" t="n">
        <f aca="false">AVERAGE(D58:D62)</f>
        <v>101.500393520361</v>
      </c>
      <c r="E64" s="33" t="n">
        <f aca="false">D64/Hipotesis!$D$55-1</f>
        <v>0.31630649099158</v>
      </c>
    </row>
    <row r="65" customFormat="false" ht="15" hidden="false" customHeight="false" outlineLevel="0" collapsed="false">
      <c r="B65" s="2" t="s">
        <v>110</v>
      </c>
      <c r="D65" s="32" t="n">
        <f aca="false">MEDIAN(D58:D62)</f>
        <v>101.500393520361</v>
      </c>
      <c r="E65" s="31" t="n">
        <f aca="false">D65/Hipotesis!$D$55-1</f>
        <v>0.31630649099158</v>
      </c>
    </row>
    <row r="66" customFormat="false" ht="15" hidden="false" customHeight="false" outlineLevel="0" collapsed="false">
      <c r="B66" s="24" t="s">
        <v>111</v>
      </c>
      <c r="D66" s="34" t="n">
        <f aca="false">MIN(D58:D62)</f>
        <v>72.9787087566356</v>
      </c>
      <c r="E66" s="34" t="n">
        <f aca="false">MAX(D58:D62)</f>
        <v>126.258040376553</v>
      </c>
    </row>
    <row r="68" customFormat="false" ht="15" hidden="false" customHeight="false" outlineLevel="0" collapsed="false">
      <c r="A68" s="35" t="s">
        <v>112</v>
      </c>
      <c r="B68" s="36"/>
      <c r="C68" s="36"/>
      <c r="D68" s="36"/>
      <c r="E68" s="36"/>
      <c r="F68" s="36"/>
      <c r="G68" s="36"/>
      <c r="H68" s="36"/>
      <c r="I68" s="36"/>
      <c r="J68" s="36"/>
    </row>
    <row r="69" customFormat="false" ht="15" hidden="false" customHeight="false" outlineLevel="0" collapsed="false">
      <c r="B69" s="11" t="s">
        <v>113</v>
      </c>
      <c r="D69" s="37" t="s">
        <v>114</v>
      </c>
      <c r="E69" s="37"/>
      <c r="F69" s="37"/>
      <c r="G69" s="37"/>
      <c r="H69" s="37"/>
    </row>
    <row r="70" customFormat="false" ht="15" hidden="false" customHeight="false" outlineLevel="0" collapsed="false">
      <c r="B70" s="2" t="s">
        <v>115</v>
      </c>
      <c r="D70" s="38" t="s">
        <v>116</v>
      </c>
      <c r="E70" s="38"/>
      <c r="F70" s="38"/>
      <c r="G70" s="38"/>
      <c r="H70" s="38"/>
    </row>
    <row r="71" customFormat="false" ht="15" hidden="false" customHeight="false" outlineLevel="0" collapsed="false">
      <c r="B71" s="11" t="s">
        <v>117</v>
      </c>
      <c r="D71" s="37" t="s">
        <v>118</v>
      </c>
      <c r="E71" s="37"/>
      <c r="F71" s="37"/>
      <c r="G71" s="37"/>
      <c r="H71" s="37"/>
    </row>
    <row r="72" customFormat="false" ht="15" hidden="false" customHeight="false" outlineLevel="0" collapsed="false">
      <c r="B72" s="2" t="s">
        <v>119</v>
      </c>
      <c r="D72" s="38" t="s">
        <v>120</v>
      </c>
      <c r="E72" s="38"/>
      <c r="F72" s="38"/>
      <c r="G72" s="38"/>
      <c r="H72" s="38"/>
    </row>
    <row r="74" customFormat="false" ht="18" hidden="false" customHeight="true" outlineLevel="0" collapsed="false">
      <c r="A74" s="9" t="s">
        <v>121</v>
      </c>
      <c r="B74" s="9"/>
      <c r="C74" s="9"/>
      <c r="D74" s="9"/>
      <c r="E74" s="9"/>
      <c r="F74" s="9"/>
      <c r="G74" s="9"/>
      <c r="H74" s="9"/>
      <c r="I74" s="9"/>
      <c r="J74" s="9"/>
    </row>
    <row r="75" customFormat="false" ht="15" hidden="false" customHeight="false" outlineLevel="0" collapsed="false">
      <c r="B75" s="28" t="s">
        <v>122</v>
      </c>
      <c r="C75" s="29"/>
      <c r="D75" s="22" t="s">
        <v>123</v>
      </c>
      <c r="E75" s="22" t="s">
        <v>124</v>
      </c>
      <c r="F75" s="28" t="s">
        <v>98</v>
      </c>
      <c r="G75" s="28"/>
      <c r="H75" s="28"/>
      <c r="I75" s="28"/>
      <c r="J75" s="28"/>
    </row>
    <row r="76" customFormat="false" ht="15" hidden="false" customHeight="false" outlineLevel="0" collapsed="false">
      <c r="B76" s="11" t="s">
        <v>125</v>
      </c>
      <c r="D76" s="25" t="n">
        <f aca="false">Hipotesis!G22</f>
        <v>0.2</v>
      </c>
      <c r="E76" s="25" t="n">
        <f aca="false">Hipotesis!K22</f>
        <v>0.09</v>
      </c>
      <c r="F76" s="20" t="s">
        <v>126</v>
      </c>
      <c r="G76" s="20"/>
      <c r="H76" s="20"/>
      <c r="I76" s="20"/>
      <c r="J76" s="20"/>
    </row>
    <row r="77" customFormat="false" ht="15" hidden="false" customHeight="false" outlineLevel="0" collapsed="false">
      <c r="B77" s="11" t="s">
        <v>127</v>
      </c>
      <c r="D77" s="25" t="n">
        <f aca="false">Hipotesis!G23</f>
        <v>0.26</v>
      </c>
      <c r="E77" s="25" t="n">
        <f aca="false">Hipotesis!K23</f>
        <v>0.28</v>
      </c>
      <c r="F77" s="20" t="s">
        <v>128</v>
      </c>
      <c r="G77" s="20"/>
      <c r="H77" s="20"/>
      <c r="I77" s="20"/>
      <c r="J77" s="20"/>
    </row>
    <row r="78" customFormat="false" ht="15" hidden="false" customHeight="false" outlineLevel="0" collapsed="false">
      <c r="B78" s="2" t="s">
        <v>129</v>
      </c>
      <c r="D78" s="25" t="n">
        <f aca="false">Hipotesis!G24</f>
        <v>0.3</v>
      </c>
      <c r="E78" s="25" t="n">
        <f aca="false">Hipotesis!K24</f>
        <v>0.335</v>
      </c>
      <c r="F78" s="39" t="s">
        <v>130</v>
      </c>
      <c r="G78" s="39"/>
      <c r="H78" s="39"/>
      <c r="I78" s="39"/>
      <c r="J78" s="39"/>
    </row>
    <row r="79" customFormat="false" ht="15" hidden="false" customHeight="false" outlineLevel="0" collapsed="false">
      <c r="B79" s="11" t="s">
        <v>131</v>
      </c>
      <c r="D79" s="25" t="n">
        <f aca="false">Hipotesis!G29</f>
        <v>0.19</v>
      </c>
      <c r="E79" s="25" t="n">
        <f aca="false">Hipotesis!K29</f>
        <v>0.225</v>
      </c>
      <c r="F79" s="20" t="s">
        <v>132</v>
      </c>
      <c r="G79" s="20"/>
      <c r="H79" s="20"/>
      <c r="I79" s="20"/>
      <c r="J79" s="20"/>
    </row>
    <row r="80" customFormat="false" ht="15" hidden="false" customHeight="false" outlineLevel="0" collapsed="false">
      <c r="B80" s="2" t="s">
        <v>133</v>
      </c>
      <c r="D80" s="40" t="n">
        <f aca="false">Hipotesis!G37</f>
        <v>0.02</v>
      </c>
      <c r="E80" s="40" t="n">
        <f aca="false">Hipotesis!K37</f>
        <v>0.014</v>
      </c>
      <c r="F80" s="39" t="s">
        <v>134</v>
      </c>
      <c r="G80" s="39"/>
      <c r="H80" s="39"/>
      <c r="I80" s="39"/>
      <c r="J80" s="39"/>
    </row>
    <row r="81" customFormat="false" ht="15" hidden="false" customHeight="false" outlineLevel="0" collapsed="false">
      <c r="B81" s="11" t="s">
        <v>135</v>
      </c>
      <c r="D81" s="41" t="n">
        <f aca="false">Hipotesis!D40</f>
        <v>5</v>
      </c>
      <c r="E81" s="41" t="n">
        <f aca="false">Hipotesis!D40</f>
        <v>5</v>
      </c>
      <c r="F81" s="20" t="s">
        <v>136</v>
      </c>
      <c r="G81" s="20"/>
      <c r="H81" s="20"/>
      <c r="I81" s="20"/>
      <c r="J81" s="20"/>
    </row>
    <row r="82" customFormat="false" ht="15" hidden="false" customHeight="false" outlineLevel="0" collapsed="false">
      <c r="B82" s="11" t="s">
        <v>137</v>
      </c>
      <c r="D82" s="25" t="n">
        <f aca="false">Hipotesis!G44</f>
        <v>0.03</v>
      </c>
      <c r="E82" s="25" t="n">
        <f aca="false">Hipotesis!K44</f>
        <v>0.024</v>
      </c>
      <c r="F82" s="20" t="s">
        <v>138</v>
      </c>
      <c r="G82" s="20"/>
      <c r="H82" s="20"/>
      <c r="I82" s="20"/>
      <c r="J82" s="20"/>
    </row>
    <row r="83" customFormat="false" ht="15" hidden="false" customHeight="false" outlineLevel="0" collapsed="false">
      <c r="B83" s="11" t="s">
        <v>139</v>
      </c>
      <c r="D83" s="25" t="n">
        <f aca="false">Hipotesis!G45</f>
        <v>0.03</v>
      </c>
      <c r="E83" s="25" t="n">
        <f aca="false">Hipotesis!K45</f>
        <v>0.018</v>
      </c>
      <c r="F83" s="20" t="s">
        <v>140</v>
      </c>
      <c r="G83" s="20"/>
      <c r="H83" s="20"/>
      <c r="I83" s="20"/>
      <c r="J83" s="20"/>
    </row>
    <row r="84" customFormat="false" ht="15" hidden="false" customHeight="false" outlineLevel="0" collapsed="false">
      <c r="B84" s="11" t="s">
        <v>141</v>
      </c>
      <c r="D84" s="40" t="n">
        <f aca="false">Hipotesis!D14</f>
        <v>0.104564</v>
      </c>
      <c r="E84" s="40" t="n">
        <f aca="false">Hipotesis!D14</f>
        <v>0.104564</v>
      </c>
      <c r="F84" s="20" t="s">
        <v>142</v>
      </c>
      <c r="G84" s="20"/>
      <c r="H84" s="20"/>
      <c r="I84" s="20"/>
      <c r="J84" s="20"/>
    </row>
    <row r="85" customFormat="false" ht="15" hidden="false" customHeight="false" outlineLevel="0" collapsed="false">
      <c r="B85" s="11" t="s">
        <v>143</v>
      </c>
      <c r="D85" s="40" t="n">
        <f aca="false">Hipotesis!D15</f>
        <v>0.025</v>
      </c>
      <c r="E85" s="40" t="n">
        <f aca="false">Hipotesis!D15</f>
        <v>0.025</v>
      </c>
      <c r="F85" s="20" t="s">
        <v>144</v>
      </c>
      <c r="G85" s="20"/>
      <c r="H85" s="20"/>
      <c r="I85" s="20"/>
      <c r="J85" s="20"/>
    </row>
    <row r="86" customFormat="false" ht="15" hidden="false" customHeight="false" outlineLevel="0" collapsed="false">
      <c r="B86" s="11" t="s">
        <v>145</v>
      </c>
      <c r="D86" s="42" t="n">
        <f aca="false">Hipotesis!D16</f>
        <v>16</v>
      </c>
      <c r="E86" s="42" t="n">
        <f aca="false">Hipotesis!D16</f>
        <v>16</v>
      </c>
      <c r="F86" s="20" t="s">
        <v>146</v>
      </c>
      <c r="G86" s="20"/>
      <c r="H86" s="20"/>
      <c r="I86" s="20"/>
      <c r="J86" s="20"/>
    </row>
    <row r="87" customFormat="false" ht="15" hidden="false" customHeight="false" outlineLevel="0" collapsed="false">
      <c r="B87" s="11" t="s">
        <v>147</v>
      </c>
      <c r="D87" s="42" t="n">
        <f aca="false">Hipotesis!D17</f>
        <v>18</v>
      </c>
      <c r="E87" s="42" t="n">
        <f aca="false">Hipotesis!D17</f>
        <v>18</v>
      </c>
      <c r="F87" s="20" t="s">
        <v>148</v>
      </c>
      <c r="G87" s="20"/>
      <c r="H87" s="20"/>
      <c r="I87" s="20"/>
      <c r="J87" s="20"/>
    </row>
    <row r="89" customFormat="false" ht="18" hidden="false" customHeight="true" outlineLevel="0" collapsed="false">
      <c r="A89" s="9" t="s">
        <v>149</v>
      </c>
      <c r="B89" s="9"/>
      <c r="C89" s="9"/>
      <c r="D89" s="9"/>
      <c r="E89" s="9"/>
      <c r="F89" s="9"/>
      <c r="G89" s="9"/>
      <c r="H89" s="9"/>
      <c r="I89" s="9"/>
      <c r="J89" s="9"/>
    </row>
    <row r="90" customFormat="false" ht="15" hidden="false" customHeight="false" outlineLevel="0" collapsed="false">
      <c r="B90" s="43" t="s">
        <v>150</v>
      </c>
    </row>
    <row r="91" customFormat="false" ht="15" hidden="false" customHeight="false" outlineLevel="0" collapsed="false">
      <c r="B91" s="44" t="s">
        <v>151</v>
      </c>
      <c r="C91" s="44"/>
      <c r="D91" s="44"/>
      <c r="E91" s="44"/>
      <c r="F91" s="44"/>
      <c r="G91" s="44"/>
      <c r="H91" s="44"/>
      <c r="I91" s="44"/>
      <c r="J91" s="44"/>
    </row>
    <row r="92" customFormat="false" ht="15" hidden="false" customHeight="false" outlineLevel="0" collapsed="false">
      <c r="B92" s="44" t="s">
        <v>152</v>
      </c>
      <c r="C92" s="44"/>
      <c r="D92" s="44"/>
      <c r="E92" s="44"/>
      <c r="F92" s="44"/>
      <c r="G92" s="44"/>
      <c r="H92" s="44"/>
      <c r="I92" s="44"/>
      <c r="J92" s="44"/>
    </row>
    <row r="93" customFormat="false" ht="15" hidden="false" customHeight="false" outlineLevel="0" collapsed="false">
      <c r="B93" s="44" t="s">
        <v>153</v>
      </c>
      <c r="C93" s="44"/>
      <c r="D93" s="44"/>
      <c r="E93" s="44"/>
      <c r="F93" s="44"/>
      <c r="G93" s="44"/>
      <c r="H93" s="44"/>
      <c r="I93" s="44"/>
      <c r="J93" s="44"/>
    </row>
    <row r="94" customFormat="false" ht="15" hidden="false" customHeight="false" outlineLevel="0" collapsed="false">
      <c r="B94" s="44" t="s">
        <v>154</v>
      </c>
      <c r="C94" s="44"/>
      <c r="D94" s="44"/>
      <c r="E94" s="44"/>
      <c r="F94" s="44"/>
      <c r="G94" s="44"/>
      <c r="H94" s="44"/>
      <c r="I94" s="44"/>
      <c r="J94" s="44"/>
    </row>
    <row r="95" customFormat="false" ht="15" hidden="false" customHeight="false" outlineLevel="0" collapsed="false">
      <c r="B95" s="44" t="s">
        <v>155</v>
      </c>
      <c r="C95" s="44"/>
      <c r="D95" s="44"/>
      <c r="E95" s="44"/>
      <c r="F95" s="44"/>
      <c r="G95" s="44"/>
      <c r="H95" s="44"/>
      <c r="I95" s="44"/>
      <c r="J95" s="44"/>
    </row>
    <row r="96" customFormat="false" ht="15" hidden="false" customHeight="false" outlineLevel="0" collapsed="false">
      <c r="B96" s="44" t="s">
        <v>156</v>
      </c>
      <c r="C96" s="44"/>
      <c r="D96" s="44"/>
      <c r="E96" s="44"/>
      <c r="F96" s="44"/>
      <c r="G96" s="44"/>
      <c r="H96" s="44"/>
      <c r="I96" s="44"/>
      <c r="J96" s="44"/>
    </row>
    <row r="97" customFormat="false" ht="15" hidden="false" customHeight="false" outlineLevel="0" collapsed="false">
      <c r="B97" s="20"/>
      <c r="C97" s="20"/>
      <c r="D97" s="20"/>
      <c r="E97" s="20"/>
      <c r="F97" s="20"/>
      <c r="G97" s="20"/>
      <c r="H97" s="20"/>
      <c r="I97" s="20"/>
      <c r="J97" s="20"/>
    </row>
    <row r="98" customFormat="false" ht="15" hidden="false" customHeight="false" outlineLevel="0" collapsed="false">
      <c r="B98" s="39" t="s">
        <v>157</v>
      </c>
      <c r="C98" s="39"/>
      <c r="D98" s="39"/>
      <c r="E98" s="39"/>
      <c r="F98" s="39"/>
      <c r="G98" s="39"/>
      <c r="H98" s="39"/>
      <c r="I98" s="39"/>
      <c r="J98" s="39"/>
    </row>
    <row r="99" customFormat="false" ht="15" hidden="false" customHeight="false" outlineLevel="0" collapsed="false">
      <c r="B99" s="44" t="s">
        <v>158</v>
      </c>
      <c r="C99" s="44"/>
      <c r="D99" s="44"/>
      <c r="E99" s="44"/>
      <c r="F99" s="44"/>
      <c r="G99" s="44"/>
      <c r="H99" s="44"/>
      <c r="I99" s="44"/>
      <c r="J99" s="44"/>
    </row>
    <row r="100" customFormat="false" ht="15" hidden="false" customHeight="false" outlineLevel="0" collapsed="false">
      <c r="B100" s="44" t="s">
        <v>159</v>
      </c>
      <c r="C100" s="44"/>
      <c r="D100" s="44"/>
      <c r="E100" s="44"/>
      <c r="F100" s="44"/>
      <c r="G100" s="44"/>
      <c r="H100" s="44"/>
      <c r="I100" s="44"/>
      <c r="J100" s="44"/>
    </row>
    <row r="101" customFormat="false" ht="15" hidden="false" customHeight="false" outlineLevel="0" collapsed="false">
      <c r="B101" s="44" t="s">
        <v>160</v>
      </c>
      <c r="C101" s="44"/>
      <c r="D101" s="44"/>
      <c r="E101" s="44"/>
      <c r="F101" s="44"/>
      <c r="G101" s="44"/>
      <c r="H101" s="44"/>
      <c r="I101" s="44"/>
      <c r="J101" s="44"/>
    </row>
    <row r="102" customFormat="false" ht="15" hidden="false" customHeight="false" outlineLevel="0" collapsed="false">
      <c r="B102" s="44" t="s">
        <v>161</v>
      </c>
      <c r="C102" s="44"/>
      <c r="D102" s="44"/>
      <c r="E102" s="44"/>
      <c r="F102" s="44"/>
      <c r="G102" s="44"/>
      <c r="H102" s="44"/>
      <c r="I102" s="44"/>
      <c r="J102" s="44"/>
    </row>
    <row r="103" customFormat="false" ht="15" hidden="false" customHeight="false" outlineLevel="0" collapsed="false">
      <c r="B103" s="44" t="s">
        <v>162</v>
      </c>
      <c r="C103" s="44"/>
      <c r="D103" s="44"/>
      <c r="E103" s="44"/>
      <c r="F103" s="44"/>
      <c r="G103" s="44"/>
      <c r="H103" s="44"/>
      <c r="I103" s="44"/>
      <c r="J103" s="44"/>
    </row>
    <row r="130" customFormat="false" ht="15" hidden="false" customHeight="false" outlineLevel="0" collapsed="false">
      <c r="B130" s="45" t="s">
        <v>163</v>
      </c>
      <c r="D130" s="46" t="s">
        <v>164</v>
      </c>
      <c r="E130" s="46" t="s">
        <v>72</v>
      </c>
      <c r="F130" s="46" t="s">
        <v>73</v>
      </c>
      <c r="G130" s="46" t="s">
        <v>74</v>
      </c>
      <c r="H130" s="46" t="s">
        <v>75</v>
      </c>
      <c r="I130" s="46" t="s">
        <v>76</v>
      </c>
    </row>
    <row r="131" customFormat="false" ht="15" hidden="false" customHeight="false" outlineLevel="0" collapsed="false">
      <c r="C131" s="2" t="s">
        <v>165</v>
      </c>
      <c r="D131" s="47" t="n">
        <f aca="false">Historico!D7</f>
        <v>11139</v>
      </c>
      <c r="E131" s="47" t="n">
        <f aca="false">Historico!E7</f>
        <v>17455</v>
      </c>
      <c r="F131" s="47" t="n">
        <f aca="false">Historico!F7</f>
        <v>31877</v>
      </c>
      <c r="G131" s="47" t="n">
        <f aca="false">Historico!G7</f>
        <v>37281</v>
      </c>
      <c r="H131" s="47" t="n">
        <f aca="false">Historico!H7</f>
        <v>43978</v>
      </c>
      <c r="I131" s="47" t="n">
        <f aca="false">Historico!I7</f>
        <v>52017</v>
      </c>
    </row>
    <row r="132" customFormat="false" ht="15" hidden="false" customHeight="false" outlineLevel="0" collapsed="false">
      <c r="C132" s="2" t="s">
        <v>49</v>
      </c>
      <c r="D132" s="47" t="n">
        <f aca="false">Historico!D26</f>
        <v>-2528</v>
      </c>
      <c r="E132" s="47" t="n">
        <f aca="false">Historico!E26</f>
        <v>-774</v>
      </c>
      <c r="F132" s="47" t="n">
        <f aca="false">Historico!F26</f>
        <v>1713</v>
      </c>
      <c r="G132" s="47" t="n">
        <f aca="false">Historico!G26</f>
        <v>4052</v>
      </c>
      <c r="H132" s="47" t="n">
        <f aca="false">Historico!H26</f>
        <v>6484</v>
      </c>
      <c r="I132" s="47" t="n">
        <f aca="false">Historico!I26</f>
        <v>8730</v>
      </c>
    </row>
    <row r="133" customFormat="false" ht="15" hidden="false" customHeight="false" outlineLevel="0" collapsed="false">
      <c r="C133" s="2" t="s">
        <v>166</v>
      </c>
      <c r="D133" s="47" t="n">
        <f aca="false">Historico!D61</f>
        <v>-2745</v>
      </c>
      <c r="E133" s="47" t="n">
        <f aca="false">Historico!E61</f>
        <v>445</v>
      </c>
      <c r="F133" s="47" t="n">
        <f aca="false">Historico!F61</f>
        <v>642</v>
      </c>
      <c r="G133" s="47" t="n">
        <f aca="false">Historico!G61</f>
        <v>3585</v>
      </c>
      <c r="H133" s="47" t="n">
        <f aca="false">Historico!H61</f>
        <v>7137</v>
      </c>
      <c r="I133" s="47" t="n">
        <f aca="false">Historico!I61</f>
        <v>10099</v>
      </c>
    </row>
    <row r="134" customFormat="false" ht="15" hidden="false" customHeight="false" outlineLevel="0" collapsed="false">
      <c r="C134" s="2" t="s">
        <v>167</v>
      </c>
      <c r="D134" s="47" t="n">
        <f aca="false">Historico!D62</f>
        <v>-3361</v>
      </c>
      <c r="E134" s="47" t="n">
        <f aca="false">Historico!E62</f>
        <v>238</v>
      </c>
      <c r="F134" s="47" t="n">
        <f aca="false">Historico!F62</f>
        <v>390</v>
      </c>
      <c r="G134" s="47" t="n">
        <f aca="false">Historico!G62</f>
        <v>3361</v>
      </c>
      <c r="H134" s="47" t="n">
        <f aca="false">Historico!H62</f>
        <v>6895</v>
      </c>
      <c r="I134" s="47" t="n">
        <f aca="false">Historico!I62</f>
        <v>9763</v>
      </c>
    </row>
    <row r="135" customFormat="false" ht="15" hidden="false" customHeight="false" outlineLevel="0" collapsed="false">
      <c r="C135" s="2" t="s">
        <v>168</v>
      </c>
      <c r="D135" s="47" t="n">
        <f aca="false">Historico!D30</f>
        <v>26553</v>
      </c>
      <c r="E135" s="47" t="n">
        <f aca="false">Historico!E30</f>
        <v>38713</v>
      </c>
      <c r="F135" s="47" t="n">
        <f aca="false">Historico!F30</f>
        <v>49669</v>
      </c>
      <c r="G135" s="47" t="n">
        <f aca="false">Historico!G30</f>
        <v>64995</v>
      </c>
      <c r="H135" s="47" t="n">
        <f aca="false">Historico!H30</f>
        <v>81763</v>
      </c>
      <c r="I135" s="47" t="n">
        <f aca="false">Historico!I30</f>
        <v>97497</v>
      </c>
    </row>
    <row r="136" customFormat="false" ht="15" hidden="false" customHeight="false" outlineLevel="0" collapsed="false">
      <c r="C136" s="2" t="s">
        <v>169</v>
      </c>
      <c r="D136" s="47" t="n">
        <f aca="false">Historico!D35</f>
        <v>30227</v>
      </c>
      <c r="E136" s="47" t="n">
        <f aca="false">Historico!E35</f>
        <v>51635</v>
      </c>
      <c r="F136" s="47" t="n">
        <f aca="false">Historico!F35</f>
        <v>60048</v>
      </c>
      <c r="G136" s="47" t="n">
        <f aca="false">Historico!G35</f>
        <v>66331</v>
      </c>
      <c r="H136" s="47" t="n">
        <f aca="false">Historico!H35</f>
        <v>75144</v>
      </c>
      <c r="I136" s="47" t="n">
        <f aca="false">Historico!I35</f>
        <v>90864</v>
      </c>
    </row>
    <row r="137" customFormat="false" ht="15" hidden="false" customHeight="false" outlineLevel="0" collapsed="false">
      <c r="C137" s="2" t="s">
        <v>170</v>
      </c>
      <c r="D137" s="47" t="n">
        <f aca="false">Historico!D40</f>
        <v>1051</v>
      </c>
      <c r="E137" s="47" t="n">
        <f aca="false">Historico!E40</f>
        <v>2132</v>
      </c>
      <c r="F137" s="47" t="n">
        <f aca="false">Historico!F40</f>
        <v>7058</v>
      </c>
      <c r="G137" s="47" t="n">
        <f aca="false">Historico!G40</f>
        <v>5245</v>
      </c>
      <c r="H137" s="47" t="n">
        <f aca="false">Historico!H40</f>
        <v>5277</v>
      </c>
      <c r="I137" s="47" t="n">
        <f aca="false">Historico!I40</f>
        <v>5141</v>
      </c>
    </row>
    <row r="138" customFormat="false" ht="15" hidden="false" customHeight="false" outlineLevel="0" collapsed="false">
      <c r="C138" s="2" t="s">
        <v>171</v>
      </c>
      <c r="D138" s="47" t="n">
        <f aca="false">DuPont_WC!D25</f>
        <v>-0.551769117886842</v>
      </c>
      <c r="E138" s="47" t="n">
        <f aca="false">DuPont_WC!E25</f>
        <v>-0.0371201915880856</v>
      </c>
      <c r="F138" s="47" t="n">
        <f aca="false">DuPont_WC!F25</f>
        <v>-0.838700798238371</v>
      </c>
      <c r="G138" s="47" t="n">
        <f aca="false">DuPont_WC!G25</f>
        <v>0.203023293345527</v>
      </c>
      <c r="H138" s="47" t="n">
        <f aca="false">DuPont_WC!H25</f>
        <v>0.600847380132289</v>
      </c>
      <c r="I138" s="47" t="n">
        <f aca="false">DuPont_WC!I25</f>
        <v>0.413712216300747</v>
      </c>
    </row>
    <row r="139" customFormat="false" ht="15" hidden="false" customHeight="false" outlineLevel="0" collapsed="false">
      <c r="C139" s="2" t="s">
        <v>172</v>
      </c>
      <c r="D139" s="47" t="n">
        <f aca="false">DuPont_WC!D37</f>
        <v>-0.305037394451146</v>
      </c>
      <c r="E139" s="47" t="n">
        <f aca="false">DuPont_WC!E37</f>
        <v>-0.187250925984054</v>
      </c>
      <c r="F139" s="47" t="n">
        <f aca="false">DuPont_WC!F37</f>
        <v>-0.127608501518128</v>
      </c>
      <c r="G139" s="47" t="n">
        <f aca="false">DuPont_WC!G37</f>
        <v>0.0559266197274078</v>
      </c>
      <c r="H139" s="47" t="n">
        <f aca="false">DuPont_WC!H37</f>
        <v>0.0869808764940239</v>
      </c>
      <c r="I139" s="47" t="n">
        <f aca="false">DuPont_WC!I37</f>
        <v>0.145033245347322</v>
      </c>
    </row>
    <row r="145" customFormat="false" ht="15" hidden="false" customHeight="false" outlineLevel="0" collapsed="false">
      <c r="B145" s="45" t="s">
        <v>173</v>
      </c>
    </row>
    <row r="146" customFormat="false" ht="15" hidden="false" customHeight="false" outlineLevel="0" collapsed="false">
      <c r="C146" s="48" t="s">
        <v>174</v>
      </c>
      <c r="D146" s="48" t="s">
        <v>175</v>
      </c>
    </row>
    <row r="147" customFormat="false" ht="15" hidden="false" customHeight="false" outlineLevel="0" collapsed="false">
      <c r="C147" s="49" t="s">
        <v>176</v>
      </c>
      <c r="D147" s="50" t="n">
        <f aca="false">Hipotesis!D55</f>
        <v>77.11</v>
      </c>
    </row>
    <row r="148" customFormat="false" ht="15" hidden="false" customHeight="false" outlineLevel="0" collapsed="false">
      <c r="C148" s="49" t="s">
        <v>177</v>
      </c>
      <c r="D148" s="50" t="n">
        <f aca="false">Modelo!D128</f>
        <v>72.9787087566356</v>
      </c>
    </row>
    <row r="149" customFormat="false" ht="15" hidden="false" customHeight="false" outlineLevel="0" collapsed="false">
      <c r="C149" s="49" t="s">
        <v>178</v>
      </c>
      <c r="D149" s="50" t="n">
        <f aca="false">Modelo!E128</f>
        <v>86.288402411781</v>
      </c>
    </row>
    <row r="150" customFormat="false" ht="15" hidden="false" customHeight="false" outlineLevel="0" collapsed="false">
      <c r="C150" s="49" t="s">
        <v>179</v>
      </c>
      <c r="D150" s="50" t="n">
        <f aca="false">Modelo!F128</f>
        <v>120.476422536473</v>
      </c>
    </row>
    <row r="151" customFormat="false" ht="15" hidden="false" customHeight="false" outlineLevel="0" collapsed="false">
      <c r="C151" s="49" t="s">
        <v>180</v>
      </c>
      <c r="D151" s="50" t="n">
        <f aca="false">Modelo!G128</f>
        <v>126.258040376553</v>
      </c>
    </row>
    <row r="152" customFormat="false" ht="15" hidden="false" customHeight="false" outlineLevel="0" collapsed="false">
      <c r="C152" s="49" t="s">
        <v>181</v>
      </c>
      <c r="D152" s="50" t="n">
        <f aca="false">Modelo!H128</f>
        <v>101.500393520361</v>
      </c>
    </row>
  </sheetData>
  <mergeCells count="64">
    <mergeCell ref="A1:T1"/>
    <mergeCell ref="A4:J4"/>
    <mergeCell ref="B6:C6"/>
    <mergeCell ref="D6:E6"/>
    <mergeCell ref="F6:G6"/>
    <mergeCell ref="H6:I6"/>
    <mergeCell ref="C13:J13"/>
    <mergeCell ref="C14:J14"/>
    <mergeCell ref="A16:J16"/>
    <mergeCell ref="E17:J17"/>
    <mergeCell ref="E18:J18"/>
    <mergeCell ref="E19:J19"/>
    <mergeCell ref="E20:J20"/>
    <mergeCell ref="E21:J21"/>
    <mergeCell ref="E22:J22"/>
    <mergeCell ref="E23:J23"/>
    <mergeCell ref="E24:J24"/>
    <mergeCell ref="E25:J25"/>
    <mergeCell ref="E26:J26"/>
    <mergeCell ref="E27:J27"/>
    <mergeCell ref="E28:J28"/>
    <mergeCell ref="E29:J29"/>
    <mergeCell ref="E30:J30"/>
    <mergeCell ref="A33:J33"/>
    <mergeCell ref="A47:J47"/>
    <mergeCell ref="A56:J56"/>
    <mergeCell ref="F57:J57"/>
    <mergeCell ref="F58:J58"/>
    <mergeCell ref="F59:J59"/>
    <mergeCell ref="F60:J60"/>
    <mergeCell ref="F61:J61"/>
    <mergeCell ref="F62:J62"/>
    <mergeCell ref="D69:H69"/>
    <mergeCell ref="D70:H70"/>
    <mergeCell ref="D71:H71"/>
    <mergeCell ref="D72:H72"/>
    <mergeCell ref="A74:J74"/>
    <mergeCell ref="F75:J75"/>
    <mergeCell ref="F76:J76"/>
    <mergeCell ref="F77:J77"/>
    <mergeCell ref="F78:J78"/>
    <mergeCell ref="F79:J79"/>
    <mergeCell ref="F80:J80"/>
    <mergeCell ref="F81:J81"/>
    <mergeCell ref="F82:J82"/>
    <mergeCell ref="F83:J83"/>
    <mergeCell ref="F84:J84"/>
    <mergeCell ref="F85:J85"/>
    <mergeCell ref="F86:J86"/>
    <mergeCell ref="F87:J87"/>
    <mergeCell ref="A89:J89"/>
    <mergeCell ref="B91:J91"/>
    <mergeCell ref="B92:J92"/>
    <mergeCell ref="B93:J93"/>
    <mergeCell ref="B94:J94"/>
    <mergeCell ref="B95:J95"/>
    <mergeCell ref="B96:J96"/>
    <mergeCell ref="B97:J97"/>
    <mergeCell ref="B98:J98"/>
    <mergeCell ref="B99:J99"/>
    <mergeCell ref="B100:J100"/>
    <mergeCell ref="B101:J101"/>
    <mergeCell ref="B102:J102"/>
    <mergeCell ref="B103:J1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11" min="4" style="0" width="12"/>
  </cols>
  <sheetData>
    <row r="1" customFormat="false" ht="24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B2" s="2" t="s">
        <v>1</v>
      </c>
      <c r="C2" s="3" t="s">
        <v>2</v>
      </c>
      <c r="D2" s="4" t="s">
        <v>3</v>
      </c>
      <c r="E2" s="5" t="s">
        <v>4</v>
      </c>
      <c r="F2" s="4" t="s">
        <v>5</v>
      </c>
      <c r="G2" s="6" t="s">
        <v>6</v>
      </c>
      <c r="H2" s="4" t="s">
        <v>7</v>
      </c>
      <c r="I2" s="7" t="s">
        <v>8</v>
      </c>
      <c r="J2" s="4" t="s">
        <v>9</v>
      </c>
      <c r="K2" s="8" t="s">
        <v>10</v>
      </c>
      <c r="L2" s="4" t="s">
        <v>11</v>
      </c>
    </row>
    <row r="4" customFormat="false" ht="18" hidden="false" customHeight="true" outlineLevel="0" collapsed="false">
      <c r="A4" s="9" t="s">
        <v>183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false" outlineLevel="0" collapsed="false">
      <c r="B5" s="2" t="s">
        <v>184</v>
      </c>
      <c r="D5" s="51" t="n">
        <v>0.0435</v>
      </c>
    </row>
    <row r="6" customFormat="false" ht="15" hidden="false" customHeight="false" outlineLevel="0" collapsed="false">
      <c r="B6" s="2" t="s">
        <v>185</v>
      </c>
      <c r="D6" s="51" t="n">
        <v>0.05</v>
      </c>
    </row>
    <row r="7" customFormat="false" ht="15" hidden="false" customHeight="false" outlineLevel="0" collapsed="false">
      <c r="B7" s="2" t="s">
        <v>186</v>
      </c>
      <c r="D7" s="52" t="n">
        <v>1.3</v>
      </c>
    </row>
    <row r="8" customFormat="false" ht="15" hidden="false" customHeight="false" outlineLevel="0" collapsed="false">
      <c r="B8" s="24" t="s">
        <v>187</v>
      </c>
      <c r="D8" s="53" t="n">
        <f aca="false">D5+D7*D6</f>
        <v>0.1085</v>
      </c>
    </row>
    <row r="9" customFormat="false" ht="15" hidden="false" customHeight="false" outlineLevel="0" collapsed="false">
      <c r="B9" s="2" t="s">
        <v>188</v>
      </c>
      <c r="D9" s="54" t="n">
        <v>0.055</v>
      </c>
    </row>
    <row r="10" customFormat="false" ht="15" hidden="false" customHeight="false" outlineLevel="0" collapsed="false">
      <c r="B10" s="2" t="s">
        <v>189</v>
      </c>
      <c r="D10" s="51" t="n">
        <v>0.22</v>
      </c>
    </row>
    <row r="11" customFormat="false" ht="15" hidden="false" customHeight="false" outlineLevel="0" collapsed="false">
      <c r="B11" s="24" t="s">
        <v>190</v>
      </c>
      <c r="D11" s="53" t="n">
        <f aca="false">D9*(1-D10)</f>
        <v>0.0429</v>
      </c>
    </row>
    <row r="12" customFormat="false" ht="15" hidden="false" customHeight="false" outlineLevel="0" collapsed="false">
      <c r="B12" s="2" t="s">
        <v>191</v>
      </c>
      <c r="D12" s="55" t="n">
        <v>0.94</v>
      </c>
    </row>
    <row r="13" customFormat="false" ht="15" hidden="false" customHeight="false" outlineLevel="0" collapsed="false">
      <c r="B13" s="24" t="s">
        <v>192</v>
      </c>
      <c r="D13" s="31" t="n">
        <f aca="false">1-D12</f>
        <v>0.0600000000000001</v>
      </c>
    </row>
    <row r="14" customFormat="false" ht="15" hidden="false" customHeight="false" outlineLevel="0" collapsed="false">
      <c r="B14" s="2" t="s">
        <v>141</v>
      </c>
      <c r="D14" s="56" t="n">
        <f aca="false">D8*D12+D11*D13</f>
        <v>0.104564</v>
      </c>
    </row>
    <row r="15" customFormat="false" ht="15" hidden="false" customHeight="false" outlineLevel="0" collapsed="false">
      <c r="B15" s="2" t="s">
        <v>193</v>
      </c>
      <c r="D15" s="51" t="n">
        <v>0.025</v>
      </c>
    </row>
    <row r="16" customFormat="false" ht="15" hidden="false" customHeight="false" outlineLevel="0" collapsed="false">
      <c r="B16" s="2" t="s">
        <v>194</v>
      </c>
      <c r="D16" s="57" t="n">
        <v>16</v>
      </c>
    </row>
    <row r="17" customFormat="false" ht="15" hidden="false" customHeight="false" outlineLevel="0" collapsed="false">
      <c r="B17" s="2" t="s">
        <v>195</v>
      </c>
      <c r="D17" s="58" t="n">
        <v>18</v>
      </c>
    </row>
    <row r="19" customFormat="false" ht="15" hidden="false" customHeight="false" outlineLevel="0" collapsed="false">
      <c r="D19" s="22" t="s">
        <v>74</v>
      </c>
      <c r="E19" s="22" t="s">
        <v>75</v>
      </c>
      <c r="F19" s="22" t="s">
        <v>76</v>
      </c>
      <c r="G19" s="22" t="s">
        <v>123</v>
      </c>
      <c r="H19" s="22" t="s">
        <v>196</v>
      </c>
      <c r="I19" s="22" t="s">
        <v>197</v>
      </c>
      <c r="J19" s="22" t="s">
        <v>198</v>
      </c>
      <c r="K19" s="22" t="s">
        <v>124</v>
      </c>
    </row>
    <row r="21" customFormat="false" ht="18" hidden="false" customHeight="true" outlineLevel="0" collapsed="false">
      <c r="A21" s="9" t="s">
        <v>199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B22" s="2" t="s">
        <v>200</v>
      </c>
      <c r="G22" s="59" t="n">
        <v>0.2</v>
      </c>
      <c r="H22" s="59" t="n">
        <v>0.16</v>
      </c>
      <c r="I22" s="59" t="n">
        <v>0.13</v>
      </c>
      <c r="J22" s="59" t="n">
        <v>0.11</v>
      </c>
      <c r="K22" s="59" t="n">
        <v>0.09</v>
      </c>
    </row>
    <row r="23" customFormat="false" ht="15" hidden="false" customHeight="false" outlineLevel="0" collapsed="false">
      <c r="B23" s="2" t="s">
        <v>201</v>
      </c>
      <c r="G23" s="59" t="n">
        <v>0.26</v>
      </c>
      <c r="H23" s="59" t="n">
        <v>0.27</v>
      </c>
      <c r="I23" s="59" t="n">
        <v>0.275</v>
      </c>
      <c r="J23" s="59" t="n">
        <v>0.28</v>
      </c>
      <c r="K23" s="59" t="n">
        <v>0.28</v>
      </c>
    </row>
    <row r="24" customFormat="false" ht="15" hidden="false" customHeight="false" outlineLevel="0" collapsed="false">
      <c r="B24" s="2" t="s">
        <v>202</v>
      </c>
      <c r="G24" s="59" t="n">
        <v>0.3</v>
      </c>
      <c r="H24" s="59" t="n">
        <v>0.315</v>
      </c>
      <c r="I24" s="59" t="n">
        <v>0.325</v>
      </c>
      <c r="J24" s="59" t="n">
        <v>0.33</v>
      </c>
      <c r="K24" s="59" t="n">
        <v>0.335</v>
      </c>
    </row>
    <row r="26" customFormat="false" ht="18" hidden="false" customHeight="true" outlineLevel="0" collapsed="false">
      <c r="A26" s="9" t="s">
        <v>203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false" outlineLevel="0" collapsed="false">
      <c r="B27" s="2" t="s">
        <v>200</v>
      </c>
      <c r="G27" s="59" t="n">
        <v>0.22</v>
      </c>
      <c r="H27" s="59" t="n">
        <v>0.18</v>
      </c>
      <c r="I27" s="59" t="n">
        <v>0.14</v>
      </c>
      <c r="J27" s="59" t="n">
        <v>0.11</v>
      </c>
      <c r="K27" s="59" t="n">
        <v>0.09</v>
      </c>
    </row>
    <row r="28" customFormat="false" ht="15" hidden="false" customHeight="false" outlineLevel="0" collapsed="false">
      <c r="B28" s="2" t="s">
        <v>204</v>
      </c>
      <c r="G28" s="59" t="n">
        <v>0.195</v>
      </c>
      <c r="H28" s="59" t="n">
        <v>0.198</v>
      </c>
      <c r="I28" s="59" t="n">
        <v>0.2</v>
      </c>
      <c r="J28" s="59" t="n">
        <v>0.2</v>
      </c>
      <c r="K28" s="59" t="n">
        <v>0.2</v>
      </c>
    </row>
    <row r="29" customFormat="false" ht="15" hidden="false" customHeight="false" outlineLevel="0" collapsed="false">
      <c r="B29" s="2" t="s">
        <v>205</v>
      </c>
      <c r="G29" s="59" t="n">
        <v>0.19</v>
      </c>
      <c r="H29" s="59" t="n">
        <v>0.205</v>
      </c>
      <c r="I29" s="59" t="n">
        <v>0.215</v>
      </c>
      <c r="J29" s="59" t="n">
        <v>0.22</v>
      </c>
      <c r="K29" s="59" t="n">
        <v>0.225</v>
      </c>
    </row>
    <row r="31" customFormat="false" ht="18" hidden="false" customHeight="true" outlineLevel="0" collapsed="false">
      <c r="A31" s="9" t="s">
        <v>206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B32" s="2" t="s">
        <v>200</v>
      </c>
      <c r="G32" s="59" t="n">
        <v>0.05</v>
      </c>
      <c r="H32" s="59" t="n">
        <v>0.05</v>
      </c>
      <c r="I32" s="59" t="n">
        <v>0.04</v>
      </c>
      <c r="J32" s="59" t="n">
        <v>0.03</v>
      </c>
      <c r="K32" s="59" t="n">
        <v>0.03</v>
      </c>
    </row>
    <row r="33" customFormat="false" ht="15" hidden="false" customHeight="false" outlineLevel="0" collapsed="false">
      <c r="B33" s="2" t="s">
        <v>207</v>
      </c>
      <c r="G33" s="55" t="n">
        <v>1</v>
      </c>
      <c r="H33" s="55" t="n">
        <v>1</v>
      </c>
      <c r="I33" s="55" t="n">
        <v>1</v>
      </c>
      <c r="J33" s="55" t="n">
        <v>1</v>
      </c>
      <c r="K33" s="55" t="n">
        <v>1</v>
      </c>
    </row>
    <row r="34" customFormat="false" ht="15" hidden="false" customHeight="false" outlineLevel="0" collapsed="false">
      <c r="B34" s="2" t="s">
        <v>208</v>
      </c>
      <c r="G34" s="59" t="n">
        <v>-0.015</v>
      </c>
      <c r="H34" s="59" t="n">
        <v>0</v>
      </c>
      <c r="I34" s="59" t="n">
        <v>0.005</v>
      </c>
      <c r="J34" s="59" t="n">
        <v>0.01</v>
      </c>
      <c r="K34" s="59" t="n">
        <v>0.015</v>
      </c>
    </row>
    <row r="36" customFormat="false" ht="18" hidden="false" customHeight="true" outlineLevel="0" collapsed="false">
      <c r="A36" s="9" t="s">
        <v>209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5" hidden="false" customHeight="false" outlineLevel="0" collapsed="false">
      <c r="B37" s="2" t="s">
        <v>210</v>
      </c>
      <c r="G37" s="51" t="n">
        <v>0.02</v>
      </c>
      <c r="H37" s="51" t="n">
        <v>0.018</v>
      </c>
      <c r="I37" s="51" t="n">
        <v>0.016</v>
      </c>
      <c r="J37" s="51" t="n">
        <v>0.015</v>
      </c>
      <c r="K37" s="51" t="n">
        <v>0.014</v>
      </c>
    </row>
    <row r="39" customFormat="false" ht="18" hidden="false" customHeight="true" outlineLevel="0" collapsed="false">
      <c r="A39" s="9" t="s">
        <v>211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15" hidden="false" customHeight="false" outlineLevel="0" collapsed="false">
      <c r="B40" s="2" t="s">
        <v>212</v>
      </c>
      <c r="D40" s="52" t="n">
        <v>5</v>
      </c>
    </row>
    <row r="41" customFormat="false" ht="15" hidden="false" customHeight="false" outlineLevel="0" collapsed="false">
      <c r="B41" s="2" t="s">
        <v>213</v>
      </c>
      <c r="D41" s="55" t="n">
        <v>-0.005</v>
      </c>
    </row>
    <row r="43" customFormat="false" ht="18" hidden="false" customHeight="true" outlineLevel="0" collapsed="false">
      <c r="A43" s="9" t="s">
        <v>214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15" hidden="false" customHeight="false" outlineLevel="0" collapsed="false">
      <c r="B44" s="2" t="s">
        <v>215</v>
      </c>
      <c r="G44" s="59" t="n">
        <v>0.03</v>
      </c>
      <c r="H44" s="59" t="n">
        <v>0.028</v>
      </c>
      <c r="I44" s="59" t="n">
        <v>0.026</v>
      </c>
      <c r="J44" s="59" t="n">
        <v>0.025</v>
      </c>
      <c r="K44" s="59" t="n">
        <v>0.024</v>
      </c>
    </row>
    <row r="45" customFormat="false" ht="15" hidden="false" customHeight="false" outlineLevel="0" collapsed="false">
      <c r="B45" s="2" t="s">
        <v>216</v>
      </c>
      <c r="G45" s="59" t="n">
        <v>0.03</v>
      </c>
      <c r="H45" s="59" t="n">
        <v>0.025</v>
      </c>
      <c r="I45" s="59" t="n">
        <v>0.022</v>
      </c>
      <c r="J45" s="59" t="n">
        <v>0.02</v>
      </c>
      <c r="K45" s="59" t="n">
        <v>0.018</v>
      </c>
    </row>
    <row r="46" customFormat="false" ht="15" hidden="false" customHeight="false" outlineLevel="0" collapsed="false">
      <c r="B46" s="2" t="s">
        <v>217</v>
      </c>
      <c r="D46" s="60" t="n">
        <v>2071391</v>
      </c>
    </row>
    <row r="48" customFormat="false" ht="18" hidden="false" customHeight="true" outlineLevel="0" collapsed="false">
      <c r="A48" s="9" t="s">
        <v>218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customFormat="false" ht="15" hidden="false" customHeight="false" outlineLevel="0" collapsed="false">
      <c r="B49" s="2" t="s">
        <v>219</v>
      </c>
      <c r="D49" s="61" t="n">
        <v>5558</v>
      </c>
    </row>
    <row r="50" customFormat="false" ht="15" hidden="false" customHeight="false" outlineLevel="0" collapsed="false">
      <c r="B50" s="2" t="s">
        <v>220</v>
      </c>
      <c r="D50" s="61" t="n">
        <v>533</v>
      </c>
    </row>
    <row r="51" customFormat="false" ht="15" hidden="false" customHeight="false" outlineLevel="0" collapsed="false">
      <c r="B51" s="2" t="s">
        <v>221</v>
      </c>
      <c r="D51" s="61" t="n">
        <v>10514</v>
      </c>
    </row>
    <row r="52" customFormat="false" ht="15" hidden="false" customHeight="false" outlineLevel="0" collapsed="false">
      <c r="B52" s="2" t="s">
        <v>222</v>
      </c>
      <c r="D52" s="61" t="n">
        <v>8109</v>
      </c>
    </row>
    <row r="53" customFormat="false" ht="15" hidden="false" customHeight="false" outlineLevel="0" collapsed="false">
      <c r="B53" s="2" t="s">
        <v>223</v>
      </c>
      <c r="D53" s="61" t="n">
        <v>268</v>
      </c>
    </row>
    <row r="54" customFormat="false" ht="15" hidden="false" customHeight="false" outlineLevel="0" collapsed="false">
      <c r="B54" s="2" t="s">
        <v>224</v>
      </c>
      <c r="D54" s="61" t="n">
        <v>1061</v>
      </c>
    </row>
    <row r="55" customFormat="false" ht="15" hidden="false" customHeight="false" outlineLevel="0" collapsed="false">
      <c r="B55" s="2" t="s">
        <v>225</v>
      </c>
      <c r="D55" s="62" t="n">
        <v>77.11</v>
      </c>
    </row>
    <row r="57" customFormat="false" ht="18" hidden="false" customHeight="true" outlineLevel="0" collapsed="false">
      <c r="A57" s="9" t="s">
        <v>226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customFormat="false" ht="15" hidden="false" customHeight="false" outlineLevel="0" collapsed="false">
      <c r="B58" s="63" t="s">
        <v>227</v>
      </c>
    </row>
    <row r="59" customFormat="false" ht="15" hidden="false" customHeight="false" outlineLevel="0" collapsed="false">
      <c r="B59" s="63" t="s">
        <v>228</v>
      </c>
    </row>
    <row r="60" customFormat="false" ht="15" hidden="false" customHeight="false" outlineLevel="0" collapsed="false">
      <c r="B60" s="63" t="s">
        <v>229</v>
      </c>
    </row>
    <row r="61" customFormat="false" ht="15" hidden="false" customHeight="false" outlineLevel="0" collapsed="false">
      <c r="B61" s="63" t="s">
        <v>230</v>
      </c>
    </row>
  </sheetData>
  <mergeCells count="10">
    <mergeCell ref="A1:L1"/>
    <mergeCell ref="A4:L4"/>
    <mergeCell ref="A21:L21"/>
    <mergeCell ref="A26:L26"/>
    <mergeCell ref="A31:L31"/>
    <mergeCell ref="A36:L36"/>
    <mergeCell ref="A39:L39"/>
    <mergeCell ref="A43:L43"/>
    <mergeCell ref="A48:L48"/>
    <mergeCell ref="A57:L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9" min="3" style="0" width="12"/>
  </cols>
  <sheetData>
    <row r="1" customFormat="false" ht="24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1</v>
      </c>
      <c r="C2" s="3" t="s">
        <v>2</v>
      </c>
      <c r="D2" s="4" t="s">
        <v>3</v>
      </c>
      <c r="E2" s="5" t="s">
        <v>4</v>
      </c>
      <c r="F2" s="4" t="s">
        <v>5</v>
      </c>
      <c r="G2" s="6" t="s">
        <v>6</v>
      </c>
      <c r="H2" s="4" t="s">
        <v>7</v>
      </c>
      <c r="I2" s="7" t="s">
        <v>8</v>
      </c>
      <c r="J2" s="4" t="s">
        <v>9</v>
      </c>
      <c r="K2" s="8" t="s">
        <v>10</v>
      </c>
      <c r="L2" s="4" t="s">
        <v>11</v>
      </c>
    </row>
    <row r="4" customFormat="false" ht="15" hidden="false" customHeight="false" outlineLevel="0" collapsed="false">
      <c r="D4" s="22" t="s">
        <v>164</v>
      </c>
      <c r="E4" s="22" t="s">
        <v>72</v>
      </c>
      <c r="F4" s="22" t="s">
        <v>73</v>
      </c>
      <c r="G4" s="22" t="s">
        <v>74</v>
      </c>
      <c r="H4" s="22" t="s">
        <v>75</v>
      </c>
      <c r="I4" s="22" t="s">
        <v>76</v>
      </c>
    </row>
    <row r="6" customFormat="false" ht="18" hidden="false" customHeight="true" outlineLevel="0" collapsed="false">
      <c r="A6" s="9" t="s">
        <v>232</v>
      </c>
      <c r="B6" s="9"/>
      <c r="C6" s="9"/>
      <c r="D6" s="9"/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B7" s="2" t="s">
        <v>165</v>
      </c>
      <c r="D7" s="18" t="n">
        <v>11139</v>
      </c>
      <c r="E7" s="18" t="n">
        <v>17455</v>
      </c>
      <c r="F7" s="18" t="n">
        <v>31877</v>
      </c>
      <c r="G7" s="18" t="n">
        <v>37281</v>
      </c>
      <c r="H7" s="18" t="n">
        <v>43978</v>
      </c>
      <c r="I7" s="18" t="n">
        <v>52017</v>
      </c>
    </row>
    <row r="8" customFormat="false" ht="15" hidden="false" customHeight="false" outlineLevel="0" collapsed="false">
      <c r="B8" s="24" t="s">
        <v>233</v>
      </c>
      <c r="E8" s="31" t="n">
        <f aca="false">E7/D7-1</f>
        <v>0.567016787862465</v>
      </c>
      <c r="F8" s="31" t="n">
        <f aca="false">F7/E7-1</f>
        <v>0.826238900028645</v>
      </c>
      <c r="G8" s="31" t="n">
        <f aca="false">G7/F7-1</f>
        <v>0.169526617937698</v>
      </c>
      <c r="H8" s="31" t="n">
        <f aca="false">H7/G7-1</f>
        <v>0.179635739384673</v>
      </c>
      <c r="I8" s="31" t="n">
        <f aca="false">I7/H7-1</f>
        <v>0.182795943426259</v>
      </c>
    </row>
    <row r="10" customFormat="false" ht="15" hidden="false" customHeight="false" outlineLevel="0" collapsed="false">
      <c r="B10" s="24" t="s">
        <v>234</v>
      </c>
      <c r="D10" s="18" t="n">
        <v>5154</v>
      </c>
      <c r="E10" s="18" t="n">
        <v>9351</v>
      </c>
      <c r="F10" s="18" t="n">
        <v>18748</v>
      </c>
      <c r="G10" s="18" t="n">
        <v>21513</v>
      </c>
      <c r="H10" s="18" t="n">
        <v>26494</v>
      </c>
      <c r="I10" s="18" t="n">
        <v>31288</v>
      </c>
    </row>
    <row r="11" customFormat="false" ht="15" hidden="false" customHeight="false" outlineLevel="0" collapsed="false">
      <c r="B11" s="24" t="s">
        <v>235</v>
      </c>
      <c r="D11" s="18" t="n">
        <v>1819</v>
      </c>
      <c r="E11" s="18" t="n">
        <v>1877</v>
      </c>
      <c r="F11" s="18" t="n">
        <v>2392</v>
      </c>
      <c r="G11" s="18" t="n">
        <v>2526</v>
      </c>
      <c r="H11" s="18" t="n">
        <v>2604</v>
      </c>
      <c r="I11" s="18" t="n">
        <v>2716</v>
      </c>
    </row>
    <row r="12" customFormat="false" ht="15" hidden="false" customHeight="false" outlineLevel="0" collapsed="false">
      <c r="B12" s="24" t="s">
        <v>236</v>
      </c>
      <c r="D12" s="18" t="n">
        <v>3583</v>
      </c>
      <c r="E12" s="18" t="n">
        <v>4789</v>
      </c>
      <c r="F12" s="18" t="n">
        <v>4286</v>
      </c>
      <c r="G12" s="18" t="n">
        <v>4248</v>
      </c>
      <c r="H12" s="18" t="n">
        <v>4525</v>
      </c>
      <c r="I12" s="18" t="n">
        <v>5158</v>
      </c>
    </row>
    <row r="13" customFormat="false" ht="15" hidden="false" customHeight="false" outlineLevel="0" collapsed="false">
      <c r="B13" s="24" t="s">
        <v>237</v>
      </c>
      <c r="D13" s="18" t="n">
        <v>2205</v>
      </c>
      <c r="E13" s="18" t="n">
        <v>2054</v>
      </c>
      <c r="F13" s="18" t="n">
        <v>2666</v>
      </c>
      <c r="G13" s="18" t="n">
        <v>2989</v>
      </c>
      <c r="H13" s="18" t="n">
        <v>3104</v>
      </c>
      <c r="I13" s="18" t="n">
        <v>3399</v>
      </c>
    </row>
    <row r="14" customFormat="false" ht="15" hidden="false" customHeight="false" outlineLevel="0" collapsed="false">
      <c r="B14" s="24" t="s">
        <v>238</v>
      </c>
      <c r="D14" s="18" t="n">
        <v>2666</v>
      </c>
      <c r="E14" s="18" t="n">
        <v>2316</v>
      </c>
      <c r="F14" s="18" t="n">
        <v>2421</v>
      </c>
      <c r="G14" s="18" t="n">
        <v>2436</v>
      </c>
      <c r="H14" s="18" t="n">
        <v>2789</v>
      </c>
      <c r="I14" s="18" t="n">
        <v>3179</v>
      </c>
    </row>
    <row r="15" customFormat="false" ht="15" hidden="false" customHeight="false" outlineLevel="0" collapsed="false">
      <c r="B15" s="24" t="s">
        <v>239</v>
      </c>
      <c r="D15" s="18" t="n">
        <v>575</v>
      </c>
      <c r="E15" s="18" t="n">
        <v>902</v>
      </c>
      <c r="F15" s="18" t="n">
        <v>947</v>
      </c>
      <c r="G15" s="18" t="n">
        <v>823</v>
      </c>
      <c r="H15" s="18" t="n">
        <v>663</v>
      </c>
      <c r="I15" s="18" t="n">
        <v>712</v>
      </c>
    </row>
    <row r="17" customFormat="false" ht="15" hidden="false" customHeight="false" outlineLevel="0" collapsed="false">
      <c r="B17" s="2" t="s">
        <v>240</v>
      </c>
      <c r="D17" s="18" t="n">
        <v>-4863</v>
      </c>
      <c r="E17" s="18" t="n">
        <v>-3824</v>
      </c>
      <c r="F17" s="18" t="n">
        <v>-1832</v>
      </c>
      <c r="G17" s="18" t="n">
        <v>1110</v>
      </c>
      <c r="H17" s="18" t="n">
        <v>2799</v>
      </c>
      <c r="I17" s="18" t="n">
        <v>5565</v>
      </c>
    </row>
    <row r="18" customFormat="false" ht="15" hidden="false" customHeight="false" outlineLevel="0" collapsed="false">
      <c r="B18" s="24" t="s">
        <v>241</v>
      </c>
      <c r="D18" s="31" t="n">
        <f aca="false">D17/D7</f>
        <v>-0.43657419876111</v>
      </c>
      <c r="E18" s="31" t="n">
        <f aca="false">E17/E7</f>
        <v>-0.219077628186766</v>
      </c>
      <c r="F18" s="31" t="n">
        <f aca="false">F17/F7</f>
        <v>-0.0574709037864291</v>
      </c>
      <c r="G18" s="31" t="n">
        <f aca="false">G17/G7</f>
        <v>0.0297738794560232</v>
      </c>
      <c r="H18" s="31" t="n">
        <f aca="false">H17/H7</f>
        <v>0.063645459093183</v>
      </c>
      <c r="I18" s="31" t="n">
        <f aca="false">I17/I7</f>
        <v>0.106984255147356</v>
      </c>
    </row>
    <row r="19" customFormat="false" ht="15" hidden="false" customHeight="false" outlineLevel="0" collapsed="false">
      <c r="B19" s="24" t="s">
        <v>242</v>
      </c>
      <c r="D19" s="18" t="n">
        <v>827</v>
      </c>
      <c r="E19" s="18" t="n">
        <v>1168</v>
      </c>
      <c r="F19" s="18" t="n">
        <v>1793</v>
      </c>
      <c r="G19" s="18" t="n">
        <v>1935</v>
      </c>
      <c r="H19" s="18" t="n">
        <v>1925</v>
      </c>
      <c r="I19" s="18" t="n">
        <v>1826</v>
      </c>
    </row>
    <row r="20" customFormat="false" ht="15" hidden="false" customHeight="false" outlineLevel="0" collapsed="false">
      <c r="B20" s="24" t="s">
        <v>243</v>
      </c>
      <c r="D20" s="31" t="n">
        <f aca="false">D19/D7</f>
        <v>0.0742436484424096</v>
      </c>
      <c r="E20" s="31" t="n">
        <f aca="false">E19/E7</f>
        <v>0.0669149240905185</v>
      </c>
      <c r="F20" s="31" t="n">
        <f aca="false">F19/F7</f>
        <v>0.0562474511403206</v>
      </c>
      <c r="G20" s="31" t="n">
        <f aca="false">G19/G7</f>
        <v>0.0519031141868512</v>
      </c>
      <c r="H20" s="31" t="n">
        <f aca="false">H19/H7</f>
        <v>0.0437718859429715</v>
      </c>
      <c r="I20" s="31" t="n">
        <f aca="false">I19/I7</f>
        <v>0.0351039083376588</v>
      </c>
    </row>
    <row r="22" customFormat="false" ht="15" hidden="false" customHeight="false" outlineLevel="0" collapsed="false">
      <c r="B22" s="2" t="s">
        <v>244</v>
      </c>
      <c r="D22" s="18" t="n">
        <v>-6768</v>
      </c>
      <c r="E22" s="18" t="n">
        <v>-496</v>
      </c>
      <c r="F22" s="18" t="n">
        <v>-9141</v>
      </c>
      <c r="G22" s="18" t="n">
        <v>1887</v>
      </c>
      <c r="H22" s="18" t="n">
        <v>9856</v>
      </c>
      <c r="I22" s="18" t="n">
        <v>10053</v>
      </c>
    </row>
    <row r="23" customFormat="false" ht="15" hidden="false" customHeight="false" outlineLevel="0" collapsed="false">
      <c r="B23" s="24" t="s">
        <v>245</v>
      </c>
      <c r="D23" s="64" t="n">
        <v>-3.86</v>
      </c>
      <c r="E23" s="64" t="n">
        <v>-0.26</v>
      </c>
      <c r="F23" s="64" t="n">
        <v>-4.49</v>
      </c>
      <c r="G23" s="64" t="n">
        <v>0.87</v>
      </c>
      <c r="H23" s="64" t="n">
        <v>4.56</v>
      </c>
      <c r="I23" s="64" t="n">
        <v>4.73</v>
      </c>
    </row>
    <row r="25" customFormat="false" ht="18" hidden="false" customHeight="true" outlineLevel="0" collapsed="false">
      <c r="A25" s="9" t="s">
        <v>246</v>
      </c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false" outlineLevel="0" collapsed="false">
      <c r="B26" s="2" t="s">
        <v>49</v>
      </c>
      <c r="D26" s="18" t="n">
        <v>-2528</v>
      </c>
      <c r="E26" s="18" t="n">
        <v>-774</v>
      </c>
      <c r="F26" s="18" t="n">
        <v>1713</v>
      </c>
      <c r="G26" s="18" t="n">
        <v>4052</v>
      </c>
      <c r="H26" s="18" t="n">
        <v>6484</v>
      </c>
      <c r="I26" s="18" t="n">
        <v>8730</v>
      </c>
    </row>
    <row r="27" customFormat="false" ht="15" hidden="false" customHeight="false" outlineLevel="0" collapsed="false">
      <c r="B27" s="24" t="s">
        <v>247</v>
      </c>
      <c r="D27" s="31" t="n">
        <f aca="false">D26/D7</f>
        <v>-0.226950354609929</v>
      </c>
      <c r="E27" s="31" t="n">
        <f aca="false">E26/E7</f>
        <v>-0.0443425952449155</v>
      </c>
      <c r="F27" s="31" t="n">
        <f aca="false">F26/F7</f>
        <v>0.0537378046867648</v>
      </c>
      <c r="G27" s="31" t="n">
        <f aca="false">G26/G7</f>
        <v>0.108688071671897</v>
      </c>
      <c r="H27" s="31" t="n">
        <f aca="false">H26/H7</f>
        <v>0.147437355041157</v>
      </c>
      <c r="I27" s="31" t="n">
        <f aca="false">I26/I7</f>
        <v>0.167829747967011</v>
      </c>
    </row>
    <row r="29" customFormat="false" ht="18" hidden="false" customHeight="true" outlineLevel="0" collapsed="false">
      <c r="A29" s="9" t="s">
        <v>248</v>
      </c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5" hidden="false" customHeight="false" outlineLevel="0" collapsed="false">
      <c r="B30" s="2" t="s">
        <v>249</v>
      </c>
      <c r="D30" s="18" t="n">
        <v>26553</v>
      </c>
      <c r="E30" s="18" t="n">
        <v>38713</v>
      </c>
      <c r="F30" s="18" t="n">
        <v>49669</v>
      </c>
      <c r="G30" s="18" t="n">
        <v>64995</v>
      </c>
      <c r="H30" s="18" t="n">
        <v>81763</v>
      </c>
      <c r="I30" s="18" t="n">
        <v>97497</v>
      </c>
    </row>
    <row r="31" customFormat="false" ht="15" hidden="false" customHeight="false" outlineLevel="0" collapsed="false">
      <c r="B31" s="2" t="s">
        <v>250</v>
      </c>
      <c r="D31" s="18" t="n">
        <v>6089</v>
      </c>
      <c r="E31" s="18" t="n">
        <v>6953</v>
      </c>
      <c r="F31" s="18" t="n">
        <v>14000</v>
      </c>
      <c r="G31" s="18" t="n">
        <v>19783</v>
      </c>
      <c r="H31" s="18" t="n">
        <v>25086</v>
      </c>
      <c r="I31" s="18" t="n">
        <v>29670</v>
      </c>
    </row>
    <row r="32" customFormat="false" ht="15" hidden="false" customHeight="false" outlineLevel="0" collapsed="false">
      <c r="B32" s="24" t="s">
        <v>251</v>
      </c>
      <c r="D32" s="31" t="n">
        <f aca="false">D31/D30</f>
        <v>0.229314954995669</v>
      </c>
      <c r="E32" s="31" t="n">
        <f aca="false">E31/E30</f>
        <v>0.179603750678067</v>
      </c>
      <c r="F32" s="31" t="n">
        <f aca="false">F31/F30</f>
        <v>0.281865952606253</v>
      </c>
      <c r="G32" s="31" t="n">
        <f aca="false">G31/G30</f>
        <v>0.304377259789215</v>
      </c>
      <c r="H32" s="31" t="n">
        <f aca="false">H31/H30</f>
        <v>0.306813595391559</v>
      </c>
      <c r="I32" s="31" t="n">
        <f aca="false">I31/I30</f>
        <v>0.304317055909413</v>
      </c>
    </row>
    <row r="33" customFormat="false" ht="15" hidden="false" customHeight="false" outlineLevel="0" collapsed="false">
      <c r="B33" s="24" t="s">
        <v>252</v>
      </c>
      <c r="D33" s="18" t="n">
        <v>1169</v>
      </c>
      <c r="E33" s="18" t="n">
        <v>1604</v>
      </c>
      <c r="F33" s="18" t="n">
        <v>3133</v>
      </c>
      <c r="G33" s="18" t="n">
        <v>5174</v>
      </c>
      <c r="H33" s="18" t="n">
        <v>6546</v>
      </c>
      <c r="I33" s="18" t="n">
        <v>7899</v>
      </c>
    </row>
    <row r="35" customFormat="false" ht="15" hidden="false" customHeight="false" outlineLevel="0" collapsed="false">
      <c r="B35" s="2" t="s">
        <v>253</v>
      </c>
      <c r="D35" s="18" t="n">
        <v>30227</v>
      </c>
      <c r="E35" s="18" t="n">
        <v>51635</v>
      </c>
      <c r="F35" s="18" t="n">
        <v>60048</v>
      </c>
      <c r="G35" s="18" t="n">
        <v>66331</v>
      </c>
      <c r="H35" s="18" t="n">
        <v>75144</v>
      </c>
      <c r="I35" s="18" t="n">
        <v>90864</v>
      </c>
    </row>
    <row r="36" customFormat="false" ht="15" hidden="false" customHeight="false" outlineLevel="0" collapsed="false">
      <c r="B36" s="2" t="s">
        <v>254</v>
      </c>
      <c r="D36" s="18" t="n">
        <v>3904</v>
      </c>
      <c r="E36" s="18" t="n">
        <v>8362</v>
      </c>
      <c r="F36" s="18" t="n">
        <v>10905</v>
      </c>
      <c r="G36" s="18" t="n">
        <v>12204</v>
      </c>
      <c r="H36" s="18" t="n">
        <v>13745</v>
      </c>
      <c r="I36" s="18" t="n">
        <v>17248</v>
      </c>
    </row>
    <row r="37" customFormat="false" ht="15" hidden="false" customHeight="false" outlineLevel="0" collapsed="false">
      <c r="B37" s="24" t="s">
        <v>255</v>
      </c>
      <c r="D37" s="31" t="n">
        <f aca="false">D36/D35</f>
        <v>0.129156052535812</v>
      </c>
      <c r="E37" s="31" t="n">
        <f aca="false">E36/E35</f>
        <v>0.161944417546238</v>
      </c>
      <c r="F37" s="31" t="n">
        <f aca="false">F36/F35</f>
        <v>0.181604716227018</v>
      </c>
      <c r="G37" s="31" t="n">
        <f aca="false">G36/G35</f>
        <v>0.183986371379898</v>
      </c>
      <c r="H37" s="31" t="n">
        <f aca="false">H36/H35</f>
        <v>0.182915468966251</v>
      </c>
      <c r="I37" s="31" t="n">
        <f aca="false">I36/I35</f>
        <v>0.189822151787286</v>
      </c>
    </row>
    <row r="38" customFormat="false" ht="15" hidden="false" customHeight="false" outlineLevel="0" collapsed="false">
      <c r="B38" s="24" t="s">
        <v>256</v>
      </c>
      <c r="D38" s="18" t="n">
        <v>-873</v>
      </c>
      <c r="E38" s="18" t="n">
        <v>-348</v>
      </c>
      <c r="F38" s="18" t="n">
        <v>553</v>
      </c>
      <c r="G38" s="18" t="n">
        <v>1502</v>
      </c>
      <c r="H38" s="18" t="n">
        <v>2516</v>
      </c>
      <c r="I38" s="18" t="n">
        <v>3572</v>
      </c>
    </row>
    <row r="40" customFormat="false" ht="15" hidden="false" customHeight="false" outlineLevel="0" collapsed="false">
      <c r="B40" s="2" t="s">
        <v>257</v>
      </c>
      <c r="D40" s="18" t="n">
        <v>1051</v>
      </c>
      <c r="E40" s="18" t="n">
        <v>2132</v>
      </c>
      <c r="F40" s="18" t="n">
        <v>7058</v>
      </c>
      <c r="G40" s="18" t="n">
        <v>5245</v>
      </c>
      <c r="H40" s="18" t="n">
        <v>5277</v>
      </c>
      <c r="I40" s="18" t="n">
        <v>5141</v>
      </c>
    </row>
    <row r="41" customFormat="false" ht="15" hidden="false" customHeight="false" outlineLevel="0" collapsed="false">
      <c r="B41" s="2" t="s">
        <v>258</v>
      </c>
      <c r="D41" s="18" t="n">
        <v>1146</v>
      </c>
      <c r="E41" s="18" t="n">
        <v>2132</v>
      </c>
      <c r="F41" s="18" t="n">
        <v>6952</v>
      </c>
      <c r="G41" s="18" t="n">
        <v>5245</v>
      </c>
      <c r="H41" s="18" t="n">
        <v>5147</v>
      </c>
      <c r="I41" s="18" t="n">
        <v>5099</v>
      </c>
    </row>
    <row r="42" customFormat="false" ht="15" hidden="false" customHeight="false" outlineLevel="0" collapsed="false">
      <c r="B42" s="24" t="s">
        <v>259</v>
      </c>
      <c r="D42" s="18" t="n">
        <v>-118</v>
      </c>
      <c r="E42" s="18" t="n">
        <v>-147</v>
      </c>
      <c r="F42" s="18" t="n">
        <v>-92</v>
      </c>
      <c r="G42" s="18" t="n">
        <v>-224</v>
      </c>
      <c r="H42" s="18" t="n">
        <v>-107</v>
      </c>
      <c r="I42" s="18" t="n">
        <v>-33</v>
      </c>
    </row>
    <row r="44" customFormat="false" ht="15" hidden="false" customHeight="false" outlineLevel="0" collapsed="false">
      <c r="B44" s="24" t="s">
        <v>260</v>
      </c>
      <c r="D44" s="18" t="n">
        <v>-2706</v>
      </c>
      <c r="E44" s="18" t="n">
        <v>-1883</v>
      </c>
      <c r="F44" s="18" t="n">
        <v>-1881</v>
      </c>
      <c r="G44" s="18" t="n">
        <v>-2400</v>
      </c>
      <c r="H44" s="18" t="n">
        <v>-2471</v>
      </c>
      <c r="I44" s="18" t="n">
        <v>-2708</v>
      </c>
    </row>
    <row r="46" customFormat="false" ht="15" hidden="false" customHeight="false" outlineLevel="0" collapsed="false">
      <c r="B46" s="24" t="s">
        <v>261</v>
      </c>
      <c r="D46" s="21" t="n">
        <f aca="false">D33+D38+D42+D44</f>
        <v>-2528</v>
      </c>
      <c r="E46" s="21" t="n">
        <f aca="false">E33+E38+E42+E44</f>
        <v>-774</v>
      </c>
      <c r="F46" s="21" t="n">
        <f aca="false">F33+F38+F42+F44</f>
        <v>1713</v>
      </c>
      <c r="G46" s="21" t="n">
        <f aca="false">G33+G38+G42+G44</f>
        <v>4052</v>
      </c>
      <c r="H46" s="21" t="n">
        <f aca="false">H33+H38+H42+H44</f>
        <v>6484</v>
      </c>
      <c r="I46" s="21" t="n">
        <f aca="false">I33+I38+I42+I44</f>
        <v>8730</v>
      </c>
    </row>
    <row r="48" customFormat="false" ht="18" hidden="false" customHeight="true" outlineLevel="0" collapsed="false">
      <c r="A48" s="9" t="s">
        <v>262</v>
      </c>
      <c r="B48" s="9"/>
      <c r="C48" s="9"/>
      <c r="D48" s="9"/>
      <c r="E48" s="9"/>
      <c r="F48" s="9"/>
      <c r="G48" s="9"/>
      <c r="H48" s="9"/>
      <c r="I48" s="9"/>
      <c r="J48" s="9"/>
    </row>
    <row r="49" customFormat="false" ht="15" hidden="false" customHeight="false" outlineLevel="0" collapsed="false">
      <c r="B49" s="2" t="s">
        <v>263</v>
      </c>
      <c r="D49" s="18" t="n">
        <v>33252</v>
      </c>
      <c r="E49" s="18" t="n">
        <v>38774</v>
      </c>
      <c r="F49" s="18" t="n">
        <v>32109</v>
      </c>
      <c r="G49" s="18" t="n">
        <v>38699</v>
      </c>
      <c r="H49" s="18" t="n">
        <v>51244</v>
      </c>
      <c r="I49" s="18" t="n">
        <v>61802</v>
      </c>
    </row>
    <row r="50" customFormat="false" ht="15" hidden="false" customHeight="false" outlineLevel="0" collapsed="false">
      <c r="B50" s="2" t="s">
        <v>264</v>
      </c>
      <c r="D50" s="18" t="n">
        <v>12266</v>
      </c>
      <c r="E50" s="18" t="n">
        <v>14458</v>
      </c>
      <c r="F50" s="18" t="n">
        <v>7340</v>
      </c>
      <c r="G50" s="18" t="n">
        <v>11249</v>
      </c>
      <c r="H50" s="18" t="n">
        <v>21558</v>
      </c>
      <c r="I50" s="18" t="n">
        <v>27041</v>
      </c>
    </row>
    <row r="51" customFormat="false" ht="15" hidden="false" customHeight="false" outlineLevel="0" collapsed="false">
      <c r="B51" s="24" t="s">
        <v>265</v>
      </c>
      <c r="D51" s="18" t="n">
        <v>12721</v>
      </c>
      <c r="E51" s="18" t="n">
        <v>14997</v>
      </c>
      <c r="F51" s="18" t="n">
        <v>7656</v>
      </c>
      <c r="G51" s="18" t="n">
        <v>11614</v>
      </c>
      <c r="H51" s="18" t="n">
        <v>22383</v>
      </c>
      <c r="I51" s="18" t="n">
        <v>27918</v>
      </c>
    </row>
    <row r="52" customFormat="false" ht="15" hidden="false" customHeight="false" outlineLevel="0" collapsed="false">
      <c r="B52" s="24" t="s">
        <v>266</v>
      </c>
      <c r="D52" s="18" t="n">
        <v>7561</v>
      </c>
      <c r="E52" s="18" t="n">
        <v>9276</v>
      </c>
      <c r="F52" s="18" t="n">
        <v>9265</v>
      </c>
      <c r="G52" s="18" t="n">
        <v>9456</v>
      </c>
      <c r="H52" s="18" t="n">
        <v>10579</v>
      </c>
      <c r="I52" s="18" t="n">
        <v>10521</v>
      </c>
    </row>
    <row r="53" customFormat="false" ht="15" hidden="false" customHeight="false" outlineLevel="0" collapsed="false">
      <c r="B53" s="24" t="s">
        <v>267</v>
      </c>
      <c r="D53" s="18" t="n">
        <v>7392</v>
      </c>
      <c r="E53" s="18" t="n">
        <v>7805</v>
      </c>
      <c r="F53" s="18" t="n">
        <v>5407</v>
      </c>
      <c r="G53" s="18" t="n">
        <v>5224</v>
      </c>
      <c r="H53" s="18" t="n">
        <v>7037</v>
      </c>
      <c r="I53" s="18" t="n">
        <v>7633</v>
      </c>
    </row>
    <row r="54" customFormat="false" ht="15" hidden="false" customHeight="false" outlineLevel="0" collapsed="false">
      <c r="B54" s="24" t="s">
        <v>268</v>
      </c>
      <c r="D54" s="18" t="n">
        <v>1110</v>
      </c>
      <c r="E54" s="18" t="n">
        <v>2439</v>
      </c>
      <c r="F54" s="18" t="n">
        <v>2477</v>
      </c>
      <c r="G54" s="18" t="n">
        <v>2779</v>
      </c>
      <c r="H54" s="18" t="n">
        <v>3399</v>
      </c>
      <c r="I54" s="18" t="n">
        <v>3850</v>
      </c>
    </row>
    <row r="55" customFormat="false" ht="15" hidden="false" customHeight="false" outlineLevel="0" collapsed="false">
      <c r="B55" s="24" t="s">
        <v>269</v>
      </c>
      <c r="D55" s="18" t="n">
        <v>235</v>
      </c>
      <c r="E55" s="18" t="n">
        <v>396</v>
      </c>
      <c r="F55" s="18" t="n">
        <v>622</v>
      </c>
      <c r="G55" s="18" t="n">
        <v>712</v>
      </c>
      <c r="H55" s="18" t="n">
        <v>858</v>
      </c>
      <c r="I55" s="18" t="n">
        <v>1013</v>
      </c>
    </row>
    <row r="56" customFormat="false" ht="15" hidden="false" customHeight="false" outlineLevel="0" collapsed="false">
      <c r="B56" s="24" t="s">
        <v>270</v>
      </c>
      <c r="D56" s="18" t="n">
        <v>1243</v>
      </c>
      <c r="E56" s="18" t="n">
        <v>1442</v>
      </c>
      <c r="F56" s="18" t="n">
        <v>2049</v>
      </c>
      <c r="G56" s="18" t="n">
        <v>2528</v>
      </c>
      <c r="H56" s="18" t="n">
        <v>2754</v>
      </c>
      <c r="I56" s="18" t="n">
        <v>3050</v>
      </c>
    </row>
    <row r="57" customFormat="false" ht="15" hidden="false" customHeight="false" outlineLevel="0" collapsed="false">
      <c r="B57" s="24" t="s">
        <v>271</v>
      </c>
      <c r="D57" s="18" t="n">
        <v>2812</v>
      </c>
      <c r="E57" s="18" t="n">
        <v>2823</v>
      </c>
      <c r="F57" s="18" t="n">
        <v>3370</v>
      </c>
      <c r="G57" s="18" t="n">
        <v>3736</v>
      </c>
      <c r="H57" s="18" t="n">
        <v>4102</v>
      </c>
      <c r="I57" s="18" t="n">
        <v>4400</v>
      </c>
    </row>
    <row r="59" customFormat="false" ht="18" hidden="false" customHeight="true" outlineLevel="0" collapsed="false">
      <c r="A59" s="9" t="s">
        <v>272</v>
      </c>
      <c r="B59" s="9"/>
      <c r="C59" s="9"/>
      <c r="D59" s="9"/>
      <c r="E59" s="9"/>
      <c r="F59" s="9"/>
      <c r="G59" s="9"/>
      <c r="H59" s="9"/>
      <c r="I59" s="9"/>
      <c r="J59" s="9"/>
    </row>
    <row r="60" customFormat="false" ht="15" hidden="false" customHeight="false" outlineLevel="0" collapsed="false">
      <c r="B60" s="24" t="s">
        <v>273</v>
      </c>
      <c r="D60" s="18" t="n">
        <v>616</v>
      </c>
      <c r="E60" s="18" t="n">
        <v>207</v>
      </c>
      <c r="F60" s="18" t="n">
        <v>252</v>
      </c>
      <c r="G60" s="18" t="n">
        <v>224</v>
      </c>
      <c r="H60" s="18" t="n">
        <v>242</v>
      </c>
      <c r="I60" s="18" t="n">
        <v>336</v>
      </c>
    </row>
    <row r="61" customFormat="false" ht="15" hidden="false" customHeight="false" outlineLevel="0" collapsed="false">
      <c r="B61" s="2" t="s">
        <v>274</v>
      </c>
      <c r="D61" s="18" t="n">
        <v>-2745</v>
      </c>
      <c r="E61" s="18" t="n">
        <v>445</v>
      </c>
      <c r="F61" s="18" t="n">
        <v>642</v>
      </c>
      <c r="G61" s="18" t="n">
        <v>3585</v>
      </c>
      <c r="H61" s="18" t="n">
        <v>7137</v>
      </c>
      <c r="I61" s="18" t="n">
        <v>10099</v>
      </c>
    </row>
    <row r="62" customFormat="false" ht="15" hidden="false" customHeight="false" outlineLevel="0" collapsed="false">
      <c r="B62" s="2" t="s">
        <v>53</v>
      </c>
      <c r="D62" s="18" t="n">
        <v>-3361</v>
      </c>
      <c r="E62" s="18" t="n">
        <v>238</v>
      </c>
      <c r="F62" s="18" t="n">
        <v>390</v>
      </c>
      <c r="G62" s="18" t="n">
        <v>3361</v>
      </c>
      <c r="H62" s="18" t="n">
        <v>6895</v>
      </c>
      <c r="I62" s="65" t="n">
        <v>9763</v>
      </c>
    </row>
    <row r="63" customFormat="false" ht="15" hidden="false" customHeight="false" outlineLevel="0" collapsed="false">
      <c r="B63" s="24" t="s">
        <v>275</v>
      </c>
      <c r="D63" s="31" t="n">
        <f aca="false">D62/D7</f>
        <v>-0.301732651045875</v>
      </c>
      <c r="E63" s="31" t="n">
        <f aca="false">E62/E7</f>
        <v>0.0136350615869378</v>
      </c>
      <c r="F63" s="31" t="n">
        <f aca="false">F62/F7</f>
        <v>0.0122345264610848</v>
      </c>
      <c r="G63" s="31" t="n">
        <f aca="false">G62/G7</f>
        <v>0.0901531611276522</v>
      </c>
      <c r="H63" s="31" t="n">
        <f aca="false">H62/H7</f>
        <v>0.156782936923007</v>
      </c>
      <c r="I63" s="31" t="n">
        <f aca="false">I62/I7</f>
        <v>0.187688640252225</v>
      </c>
    </row>
    <row r="65" customFormat="false" ht="15" hidden="false" customHeight="false" outlineLevel="0" collapsed="false">
      <c r="B65" s="24" t="s">
        <v>276</v>
      </c>
      <c r="D65" s="60" t="n">
        <v>1751952</v>
      </c>
      <c r="E65" s="60" t="n">
        <v>1903053</v>
      </c>
      <c r="F65" s="60" t="n">
        <v>1992188</v>
      </c>
      <c r="G65" s="60" t="n">
        <v>2068999</v>
      </c>
      <c r="H65" s="60" t="n">
        <v>2096810</v>
      </c>
      <c r="I65" s="60" t="n">
        <v>2119689</v>
      </c>
    </row>
    <row r="67" customFormat="false" ht="18" hidden="false" customHeight="true" outlineLevel="0" collapsed="false">
      <c r="A67" s="9" t="s">
        <v>277</v>
      </c>
      <c r="B67" s="9"/>
      <c r="C67" s="9"/>
      <c r="D67" s="9"/>
      <c r="E67" s="9"/>
      <c r="F67" s="9"/>
      <c r="G67" s="9"/>
      <c r="H67" s="9"/>
      <c r="I67" s="9"/>
      <c r="J67" s="9"/>
    </row>
    <row r="68" customFormat="false" ht="15" hidden="false" customHeight="false" outlineLevel="0" collapsed="false">
      <c r="B68" s="63" t="s">
        <v>278</v>
      </c>
    </row>
    <row r="69" customFormat="false" ht="15" hidden="false" customHeight="false" outlineLevel="0" collapsed="false">
      <c r="B69" s="63" t="s">
        <v>279</v>
      </c>
    </row>
    <row r="70" customFormat="false" ht="15" hidden="false" customHeight="false" outlineLevel="0" collapsed="false">
      <c r="B70" s="63" t="s">
        <v>280</v>
      </c>
    </row>
    <row r="71" customFormat="false" ht="15" hidden="false" customHeight="false" outlineLevel="0" collapsed="false">
      <c r="B71" s="63" t="s">
        <v>281</v>
      </c>
    </row>
    <row r="72" customFormat="false" ht="15" hidden="false" customHeight="false" outlineLevel="0" collapsed="false">
      <c r="B72" s="63" t="s">
        <v>282</v>
      </c>
    </row>
  </sheetData>
  <mergeCells count="7">
    <mergeCell ref="A1:J1"/>
    <mergeCell ref="A6:J6"/>
    <mergeCell ref="A25:J25"/>
    <mergeCell ref="A29:J29"/>
    <mergeCell ref="A48:J48"/>
    <mergeCell ref="A59:J59"/>
    <mergeCell ref="A67:J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4"/>
    <col collapsed="false" customWidth="true" hidden="false" outlineLevel="0" max="10" min="4" style="0" width="12"/>
    <col collapsed="false" customWidth="true" hidden="false" outlineLevel="0" max="11" min="11" style="0" width="4"/>
    <col collapsed="false" customWidth="true" hidden="false" outlineLevel="0" max="19" min="12" style="0" width="11"/>
    <col collapsed="false" customWidth="true" hidden="false" outlineLevel="0" max="20" min="20" style="0" width="4"/>
  </cols>
  <sheetData>
    <row r="1" customFormat="false" ht="24" hidden="false" customHeight="true" outlineLevel="0" collapsed="false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B2" s="2" t="s">
        <v>1</v>
      </c>
      <c r="C2" s="3" t="s">
        <v>2</v>
      </c>
      <c r="D2" s="4" t="s">
        <v>3</v>
      </c>
      <c r="E2" s="5" t="s">
        <v>4</v>
      </c>
      <c r="F2" s="4" t="s">
        <v>5</v>
      </c>
      <c r="G2" s="6" t="s">
        <v>6</v>
      </c>
      <c r="H2" s="4" t="s">
        <v>7</v>
      </c>
      <c r="I2" s="7" t="s">
        <v>8</v>
      </c>
      <c r="J2" s="4" t="s">
        <v>9</v>
      </c>
      <c r="K2" s="8" t="s">
        <v>10</v>
      </c>
      <c r="L2" s="4" t="s">
        <v>11</v>
      </c>
    </row>
    <row r="4" customFormat="false" ht="15" hidden="false" customHeight="false" outlineLevel="0" collapsed="false">
      <c r="D4" s="22" t="s">
        <v>75</v>
      </c>
      <c r="E4" s="22" t="s">
        <v>76</v>
      </c>
      <c r="F4" s="22" t="s">
        <v>123</v>
      </c>
      <c r="G4" s="22" t="s">
        <v>196</v>
      </c>
      <c r="H4" s="22" t="s">
        <v>197</v>
      </c>
      <c r="I4" s="22" t="s">
        <v>198</v>
      </c>
      <c r="J4" s="22" t="s">
        <v>124</v>
      </c>
    </row>
    <row r="5" customFormat="false" ht="15" hidden="false" customHeight="false" outlineLevel="0" collapsed="false">
      <c r="L5" s="63" t="s">
        <v>284</v>
      </c>
    </row>
    <row r="6" customFormat="false" ht="18" hidden="false" customHeight="true" outlineLevel="0" collapsed="false">
      <c r="A6" s="9" t="s">
        <v>285</v>
      </c>
      <c r="B6" s="9"/>
      <c r="C6" s="9"/>
      <c r="D6" s="9"/>
      <c r="E6" s="9"/>
      <c r="F6" s="9"/>
      <c r="G6" s="9"/>
      <c r="L6" s="9" t="s">
        <v>286</v>
      </c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B7" s="2" t="s">
        <v>287</v>
      </c>
      <c r="D7" s="23" t="n">
        <f aca="false">Historico!H30</f>
        <v>81763</v>
      </c>
      <c r="E7" s="23" t="n">
        <f aca="false">Historico!I30</f>
        <v>97497</v>
      </c>
      <c r="F7" s="21" t="n">
        <f aca="false">E7*(1+Hipotesis!G22)</f>
        <v>116996.4</v>
      </c>
      <c r="G7" s="21" t="n">
        <f aca="false">F7*(1+Hipotesis!H22)</f>
        <v>135715.824</v>
      </c>
      <c r="H7" s="21" t="n">
        <f aca="false">G7*(1+Hipotesis!I22)</f>
        <v>153358.88112</v>
      </c>
      <c r="I7" s="21" t="n">
        <f aca="false">H7*(1+Hipotesis!J22)</f>
        <v>170228.3580432</v>
      </c>
      <c r="J7" s="21" t="n">
        <f aca="false">I7*(1+Hipotesis!K22)</f>
        <v>185548.910267088</v>
      </c>
      <c r="L7" s="35" t="s">
        <v>288</v>
      </c>
      <c r="M7" s="36"/>
      <c r="N7" s="36"/>
      <c r="O7" s="36"/>
      <c r="P7" s="36"/>
      <c r="Q7" s="36"/>
      <c r="R7" s="36"/>
    </row>
    <row r="8" customFormat="false" ht="15" hidden="false" customHeight="false" outlineLevel="0" collapsed="false">
      <c r="B8" s="24" t="s">
        <v>78</v>
      </c>
      <c r="E8" s="31" t="n">
        <f aca="false">E7/D7-1</f>
        <v>0.192434230642222</v>
      </c>
      <c r="F8" s="31" t="n">
        <f aca="false">F7/E7-1</f>
        <v>0.2</v>
      </c>
      <c r="G8" s="31" t="n">
        <f aca="false">G7/F7-1</f>
        <v>0.16</v>
      </c>
      <c r="H8" s="31" t="n">
        <f aca="false">H7/G7-1</f>
        <v>0.13</v>
      </c>
      <c r="I8" s="31" t="n">
        <f aca="false">I7/H7-1</f>
        <v>0.11</v>
      </c>
      <c r="J8" s="31" t="n">
        <f aca="false">J7/I7-1</f>
        <v>0.0900000000000001</v>
      </c>
      <c r="M8" s="66" t="n">
        <v>0.25</v>
      </c>
      <c r="N8" s="66" t="n">
        <v>0.26</v>
      </c>
      <c r="O8" s="66" t="n">
        <v>0.27</v>
      </c>
      <c r="P8" s="67" t="n">
        <v>0.28</v>
      </c>
      <c r="Q8" s="66" t="n">
        <v>0.29</v>
      </c>
      <c r="R8" s="66" t="n">
        <v>0.3</v>
      </c>
    </row>
    <row r="9" customFormat="false" ht="15" hidden="false" customHeight="false" outlineLevel="0" collapsed="false">
      <c r="L9" s="68" t="n">
        <v>0.27</v>
      </c>
      <c r="M9" s="34" t="n">
        <f aca="false">(($D$82-$J$81+(((((($J$7*M$8)*$L9)+($J$62-$J$15))*(1-Hipotesis!$D$10))-((($J$67-$J$11+($J$7*M$8))-$I$67)/Hipotesis!$D$40))/(1+Hipotesis!$D$14)^5))+((((((($J$7*M$8)*$L9)+($J$62-$J$15))*(1-Hipotesis!$D$10))-((($J$67-$J$11+($J$7*M$8))-$I$67)/Hipotesis!$D$40))*(1+Hipotesis!$D$15)/(Hipotesis!$D$14-Hipotesis!$D$15))/(1+Hipotesis!$D$14)^5)+(Hipotesis!$D$49+Hipotesis!$D$50-Hipotesis!$D$51+Hipotesis!$D$52+Hipotesis!$D$53-Hipotesis!$D$54))/Hipotesis!$D$46*1000</f>
        <v>62.0012125712902</v>
      </c>
      <c r="N9" s="34" t="n">
        <f aca="false">(($D$82-$J$81+(((((($J$7*N$8)*$L9)+($J$62-$J$15))*(1-Hipotesis!$D$10))-((($J$67-$J$11+($J$7*N$8))-$I$67)/Hipotesis!$D$40))/(1+Hipotesis!$D$14)^5))+((((((($J$7*N$8)*$L9)+($J$62-$J$15))*(1-Hipotesis!$D$10))-((($J$67-$J$11+($J$7*N$8))-$I$67)/Hipotesis!$D$40))*(1+Hipotesis!$D$15)/(Hipotesis!$D$14-Hipotesis!$D$15))/(1+Hipotesis!$D$14)^5)+(Hipotesis!$D$49+Hipotesis!$D$50-Hipotesis!$D$51+Hipotesis!$D$52+Hipotesis!$D$53-Hipotesis!$D$54))/Hipotesis!$D$46*1000</f>
        <v>62.0813844464209</v>
      </c>
      <c r="O9" s="34" t="n">
        <f aca="false">(($D$82-$J$81+(((((($J$7*O$8)*$L9)+($J$62-$J$15))*(1-Hipotesis!$D$10))-((($J$67-$J$11+($J$7*O$8))-$I$67)/Hipotesis!$D$40))/(1+Hipotesis!$D$14)^5))+((((((($J$7*O$8)*$L9)+($J$62-$J$15))*(1-Hipotesis!$D$10))-((($J$67-$J$11+($J$7*O$8))-$I$67)/Hipotesis!$D$40))*(1+Hipotesis!$D$15)/(Hipotesis!$D$14-Hipotesis!$D$15))/(1+Hipotesis!$D$14)^5)+(Hipotesis!$D$49+Hipotesis!$D$50-Hipotesis!$D$51+Hipotesis!$D$52+Hipotesis!$D$53-Hipotesis!$D$54))/Hipotesis!$D$46*1000</f>
        <v>62.1615563215516</v>
      </c>
      <c r="P9" s="34" t="n">
        <f aca="false">(($D$82-$J$81+(((((($J$7*P$8)*$L9)+($J$62-$J$15))*(1-Hipotesis!$D$10))-((($J$67-$J$11+($J$7*P$8))-$I$67)/Hipotesis!$D$40))/(1+Hipotesis!$D$14)^5))+((((((($J$7*P$8)*$L9)+($J$62-$J$15))*(1-Hipotesis!$D$10))-((($J$67-$J$11+($J$7*P$8))-$I$67)/Hipotesis!$D$40))*(1+Hipotesis!$D$15)/(Hipotesis!$D$14-Hipotesis!$D$15))/(1+Hipotesis!$D$14)^5)+(Hipotesis!$D$49+Hipotesis!$D$50-Hipotesis!$D$51+Hipotesis!$D$52+Hipotesis!$D$53-Hipotesis!$D$54))/Hipotesis!$D$46*1000</f>
        <v>62.2417281966823</v>
      </c>
      <c r="Q9" s="34" t="n">
        <f aca="false">(($D$82-$J$81+(((((($J$7*Q$8)*$L9)+($J$62-$J$15))*(1-Hipotesis!$D$10))-((($J$67-$J$11+($J$7*Q$8))-$I$67)/Hipotesis!$D$40))/(1+Hipotesis!$D$14)^5))+((((((($J$7*Q$8)*$L9)+($J$62-$J$15))*(1-Hipotesis!$D$10))-((($J$67-$J$11+($J$7*Q$8))-$I$67)/Hipotesis!$D$40))*(1+Hipotesis!$D$15)/(Hipotesis!$D$14-Hipotesis!$D$15))/(1+Hipotesis!$D$14)^5)+(Hipotesis!$D$49+Hipotesis!$D$50-Hipotesis!$D$51+Hipotesis!$D$52+Hipotesis!$D$53-Hipotesis!$D$54))/Hipotesis!$D$46*1000</f>
        <v>62.3219000718129</v>
      </c>
      <c r="R9" s="34" t="n">
        <f aca="false">(($D$82-$J$81+(((((($J$7*R$8)*$L9)+($J$62-$J$15))*(1-Hipotesis!$D$10))-((($J$67-$J$11+($J$7*R$8))-$I$67)/Hipotesis!$D$40))/(1+Hipotesis!$D$14)^5))+((((((($J$7*R$8)*$L9)+($J$62-$J$15))*(1-Hipotesis!$D$10))-((($J$67-$J$11+($J$7*R$8))-$I$67)/Hipotesis!$D$40))*(1+Hipotesis!$D$15)/(Hipotesis!$D$14-Hipotesis!$D$15))/(1+Hipotesis!$D$14)^5)+(Hipotesis!$D$49+Hipotesis!$D$50-Hipotesis!$D$51+Hipotesis!$D$52+Hipotesis!$D$53-Hipotesis!$D$54))/Hipotesis!$D$46*1000</f>
        <v>62.4020719469436</v>
      </c>
    </row>
    <row r="10" customFormat="false" ht="15" hidden="false" customHeight="false" outlineLevel="0" collapsed="false">
      <c r="B10" s="2" t="s">
        <v>289</v>
      </c>
      <c r="D10" s="25" t="n">
        <f aca="false">Historico!H32</f>
        <v>0.306813595391559</v>
      </c>
      <c r="E10" s="25" t="n">
        <f aca="false">Historico!I32</f>
        <v>0.304317055909413</v>
      </c>
      <c r="F10" s="25" t="n">
        <f aca="false">Hipotesis!G23</f>
        <v>0.26</v>
      </c>
      <c r="G10" s="25" t="n">
        <f aca="false">Hipotesis!H23</f>
        <v>0.27</v>
      </c>
      <c r="H10" s="25" t="n">
        <f aca="false">Hipotesis!I23</f>
        <v>0.275</v>
      </c>
      <c r="I10" s="25" t="n">
        <f aca="false">Hipotesis!J23</f>
        <v>0.28</v>
      </c>
      <c r="J10" s="25" t="n">
        <f aca="false">Hipotesis!K23</f>
        <v>0.28</v>
      </c>
      <c r="L10" s="68" t="n">
        <v>0.29</v>
      </c>
      <c r="M10" s="34" t="n">
        <f aca="false">(($D$82-$J$81+(((((($J$7*M$8)*$L10)+($J$62-$J$15))*(1-Hipotesis!$D$10))-((($J$67-$J$11+($J$7*M$8))-$I$67)/Hipotesis!$D$40))/(1+Hipotesis!$D$14)^5))+((((((($J$7*M$8)*$L10)+($J$62-$J$15))*(1-Hipotesis!$D$10))-((($J$67-$J$11+($J$7*M$8))-$I$67)/Hipotesis!$D$40))*(1+Hipotesis!$D$15)/(Hipotesis!$D$14-Hipotesis!$D$15))/(1+Hipotesis!$D$14)^5)+(Hipotesis!$D$49+Hipotesis!$D$50-Hipotesis!$D$51+Hipotesis!$D$52+Hipotesis!$D$53-Hipotesis!$D$54))/Hipotesis!$D$46*1000</f>
        <v>64.9509325053434</v>
      </c>
      <c r="N10" s="34" t="n">
        <f aca="false">(($D$82-$J$81+(((((($J$7*N$8)*$L10)+($J$62-$J$15))*(1-Hipotesis!$D$10))-((($J$67-$J$11+($J$7*N$8))-$I$67)/Hipotesis!$D$40))/(1+Hipotesis!$D$14)^5))+((((((($J$7*N$8)*$L10)+($J$62-$J$15))*(1-Hipotesis!$D$10))-((($J$67-$J$11+($J$7*N$8))-$I$67)/Hipotesis!$D$40))*(1+Hipotesis!$D$15)/(Hipotesis!$D$14-Hipotesis!$D$15))/(1+Hipotesis!$D$14)^5)+(Hipotesis!$D$49+Hipotesis!$D$50-Hipotesis!$D$51+Hipotesis!$D$52+Hipotesis!$D$53-Hipotesis!$D$54))/Hipotesis!$D$46*1000</f>
        <v>65.1490931778362</v>
      </c>
      <c r="O10" s="34" t="n">
        <f aca="false">(($D$82-$J$81+(((((($J$7*O$8)*$L10)+($J$62-$J$15))*(1-Hipotesis!$D$10))-((($J$67-$J$11+($J$7*O$8))-$I$67)/Hipotesis!$D$40))/(1+Hipotesis!$D$14)^5))+((((((($J$7*O$8)*$L10)+($J$62-$J$15))*(1-Hipotesis!$D$10))-((($J$67-$J$11+($J$7*O$8))-$I$67)/Hipotesis!$D$40))*(1+Hipotesis!$D$15)/(Hipotesis!$D$14-Hipotesis!$D$15))/(1+Hipotesis!$D$14)^5)+(Hipotesis!$D$49+Hipotesis!$D$50-Hipotesis!$D$51+Hipotesis!$D$52+Hipotesis!$D$53-Hipotesis!$D$54))/Hipotesis!$D$46*1000</f>
        <v>65.347253850329</v>
      </c>
      <c r="P10" s="34" t="n">
        <f aca="false">(($D$82-$J$81+(((((($J$7*P$8)*$L10)+($J$62-$J$15))*(1-Hipotesis!$D$10))-((($J$67-$J$11+($J$7*P$8))-$I$67)/Hipotesis!$D$40))/(1+Hipotesis!$D$14)^5))+((((((($J$7*P$8)*$L10)+($J$62-$J$15))*(1-Hipotesis!$D$10))-((($J$67-$J$11+($J$7*P$8))-$I$67)/Hipotesis!$D$40))*(1+Hipotesis!$D$15)/(Hipotesis!$D$14-Hipotesis!$D$15))/(1+Hipotesis!$D$14)^5)+(Hipotesis!$D$49+Hipotesis!$D$50-Hipotesis!$D$51+Hipotesis!$D$52+Hipotesis!$D$53-Hipotesis!$D$54))/Hipotesis!$D$46*1000</f>
        <v>65.5454145228218</v>
      </c>
      <c r="Q10" s="34" t="n">
        <f aca="false">(($D$82-$J$81+(((((($J$7*Q$8)*$L10)+($J$62-$J$15))*(1-Hipotesis!$D$10))-((($J$67-$J$11+($J$7*Q$8))-$I$67)/Hipotesis!$D$40))/(1+Hipotesis!$D$14)^5))+((((((($J$7*Q$8)*$L10)+($J$62-$J$15))*(1-Hipotesis!$D$10))-((($J$67-$J$11+($J$7*Q$8))-$I$67)/Hipotesis!$D$40))*(1+Hipotesis!$D$15)/(Hipotesis!$D$14-Hipotesis!$D$15))/(1+Hipotesis!$D$14)^5)+(Hipotesis!$D$49+Hipotesis!$D$50-Hipotesis!$D$51+Hipotesis!$D$52+Hipotesis!$D$53-Hipotesis!$D$54))/Hipotesis!$D$46*1000</f>
        <v>65.7435751953145</v>
      </c>
      <c r="R10" s="34" t="n">
        <f aca="false">(($D$82-$J$81+(((((($J$7*R$8)*$L10)+($J$62-$J$15))*(1-Hipotesis!$D$10))-((($J$67-$J$11+($J$7*R$8))-$I$67)/Hipotesis!$D$40))/(1+Hipotesis!$D$14)^5))+((((((($J$7*R$8)*$L10)+($J$62-$J$15))*(1-Hipotesis!$D$10))-((($J$67-$J$11+($J$7*R$8))-$I$67)/Hipotesis!$D$40))*(1+Hipotesis!$D$15)/(Hipotesis!$D$14-Hipotesis!$D$15))/(1+Hipotesis!$D$14)^5)+(Hipotesis!$D$49+Hipotesis!$D$50-Hipotesis!$D$51+Hipotesis!$D$52+Hipotesis!$D$53-Hipotesis!$D$54))/Hipotesis!$D$46*1000</f>
        <v>65.9417358678074</v>
      </c>
    </row>
    <row r="11" customFormat="false" ht="15" hidden="false" customHeight="false" outlineLevel="0" collapsed="false">
      <c r="B11" s="2" t="s">
        <v>77</v>
      </c>
      <c r="D11" s="69" t="n">
        <f aca="false">D7*D10</f>
        <v>25086</v>
      </c>
      <c r="E11" s="69" t="n">
        <f aca="false">E7*E10</f>
        <v>29670</v>
      </c>
      <c r="F11" s="69" t="n">
        <f aca="false">F7*F10</f>
        <v>30419.064</v>
      </c>
      <c r="G11" s="69" t="n">
        <f aca="false">G7*G10</f>
        <v>36643.27248</v>
      </c>
      <c r="H11" s="69" t="n">
        <f aca="false">H7*H10</f>
        <v>42173.692308</v>
      </c>
      <c r="I11" s="69" t="n">
        <f aca="false">I7*I10</f>
        <v>47663.940252096</v>
      </c>
      <c r="J11" s="69" t="n">
        <f aca="false">J7*J10</f>
        <v>51953.6948747847</v>
      </c>
      <c r="L11" s="68" t="n">
        <v>0.31</v>
      </c>
      <c r="M11" s="34" t="n">
        <f aca="false">(($D$82-$J$81+(((((($J$7*M$8)*$L11)+($J$62-$J$15))*(1-Hipotesis!$D$10))-((($J$67-$J$11+($J$7*M$8))-$I$67)/Hipotesis!$D$40))/(1+Hipotesis!$D$14)^5))+((((((($J$7*M$8)*$L11)+($J$62-$J$15))*(1-Hipotesis!$D$10))-((($J$67-$J$11+($J$7*M$8))-$I$67)/Hipotesis!$D$40))*(1+Hipotesis!$D$15)/(Hipotesis!$D$14-Hipotesis!$D$15))/(1+Hipotesis!$D$14)^5)+(Hipotesis!$D$49+Hipotesis!$D$50-Hipotesis!$D$51+Hipotesis!$D$52+Hipotesis!$D$53-Hipotesis!$D$54))/Hipotesis!$D$46*1000</f>
        <v>67.9006524393965</v>
      </c>
      <c r="N11" s="34" t="n">
        <f aca="false">(($D$82-$J$81+(((((($J$7*N$8)*$L11)+($J$62-$J$15))*(1-Hipotesis!$D$10))-((($J$67-$J$11+($J$7*N$8))-$I$67)/Hipotesis!$D$40))/(1+Hipotesis!$D$14)^5))+((((((($J$7*N$8)*$L11)+($J$62-$J$15))*(1-Hipotesis!$D$10))-((($J$67-$J$11+($J$7*N$8))-$I$67)/Hipotesis!$D$40))*(1+Hipotesis!$D$15)/(Hipotesis!$D$14-Hipotesis!$D$15))/(1+Hipotesis!$D$14)^5)+(Hipotesis!$D$49+Hipotesis!$D$50-Hipotesis!$D$51+Hipotesis!$D$52+Hipotesis!$D$53-Hipotesis!$D$54))/Hipotesis!$D$46*1000</f>
        <v>68.2168019092514</v>
      </c>
      <c r="O11" s="34" t="n">
        <f aca="false">(($D$82-$J$81+(((((($J$7*O$8)*$L11)+($J$62-$J$15))*(1-Hipotesis!$D$10))-((($J$67-$J$11+($J$7*O$8))-$I$67)/Hipotesis!$D$40))/(1+Hipotesis!$D$14)^5))+((((((($J$7*O$8)*$L11)+($J$62-$J$15))*(1-Hipotesis!$D$10))-((($J$67-$J$11+($J$7*O$8))-$I$67)/Hipotesis!$D$40))*(1+Hipotesis!$D$15)/(Hipotesis!$D$14-Hipotesis!$D$15))/(1+Hipotesis!$D$14)^5)+(Hipotesis!$D$49+Hipotesis!$D$50-Hipotesis!$D$51+Hipotesis!$D$52+Hipotesis!$D$53-Hipotesis!$D$54))/Hipotesis!$D$46*1000</f>
        <v>68.5329513791063</v>
      </c>
      <c r="P11" s="34" t="n">
        <f aca="false">(($D$82-$J$81+(((((($J$7*P$8)*$L11)+($J$62-$J$15))*(1-Hipotesis!$D$10))-((($J$67-$J$11+($J$7*P$8))-$I$67)/Hipotesis!$D$40))/(1+Hipotesis!$D$14)^5))+((((((($J$7*P$8)*$L11)+($J$62-$J$15))*(1-Hipotesis!$D$10))-((($J$67-$J$11+($J$7*P$8))-$I$67)/Hipotesis!$D$40))*(1+Hipotesis!$D$15)/(Hipotesis!$D$14-Hipotesis!$D$15))/(1+Hipotesis!$D$14)^5)+(Hipotesis!$D$49+Hipotesis!$D$50-Hipotesis!$D$51+Hipotesis!$D$52+Hipotesis!$D$53-Hipotesis!$D$54))/Hipotesis!$D$46*1000</f>
        <v>68.8491008489612</v>
      </c>
      <c r="Q11" s="34" t="n">
        <f aca="false">(($D$82-$J$81+(((((($J$7*Q$8)*$L11)+($J$62-$J$15))*(1-Hipotesis!$D$10))-((($J$67-$J$11+($J$7*Q$8))-$I$67)/Hipotesis!$D$40))/(1+Hipotesis!$D$14)^5))+((((((($J$7*Q$8)*$L11)+($J$62-$J$15))*(1-Hipotesis!$D$10))-((($J$67-$J$11+($J$7*Q$8))-$I$67)/Hipotesis!$D$40))*(1+Hipotesis!$D$15)/(Hipotesis!$D$14-Hipotesis!$D$15))/(1+Hipotesis!$D$14)^5)+(Hipotesis!$D$49+Hipotesis!$D$50-Hipotesis!$D$51+Hipotesis!$D$52+Hipotesis!$D$53-Hipotesis!$D$54))/Hipotesis!$D$46*1000</f>
        <v>69.1652503188162</v>
      </c>
      <c r="R11" s="34" t="n">
        <f aca="false">(($D$82-$J$81+(((((($J$7*R$8)*$L11)+($J$62-$J$15))*(1-Hipotesis!$D$10))-((($J$67-$J$11+($J$7*R$8))-$I$67)/Hipotesis!$D$40))/(1+Hipotesis!$D$14)^5))+((((((($J$7*R$8)*$L11)+($J$62-$J$15))*(1-Hipotesis!$D$10))-((($J$67-$J$11+($J$7*R$8))-$I$67)/Hipotesis!$D$40))*(1+Hipotesis!$D$15)/(Hipotesis!$D$14-Hipotesis!$D$15))/(1+Hipotesis!$D$14)^5)+(Hipotesis!$D$49+Hipotesis!$D$50-Hipotesis!$D$51+Hipotesis!$D$52+Hipotesis!$D$53-Hipotesis!$D$54))/Hipotesis!$D$46*1000</f>
        <v>69.4813997886711</v>
      </c>
    </row>
    <row r="12" customFormat="false" ht="15" hidden="false" customHeight="false" outlineLevel="0" collapsed="false">
      <c r="B12" s="24" t="s">
        <v>78</v>
      </c>
      <c r="E12" s="31" t="n">
        <f aca="false">E11/D11-1</f>
        <v>0.182731403970342</v>
      </c>
      <c r="F12" s="31" t="n">
        <f aca="false">F11/E11-1</f>
        <v>0.025246511627907</v>
      </c>
      <c r="G12" s="31" t="n">
        <f aca="false">G11/F11-1</f>
        <v>0.204615384615385</v>
      </c>
      <c r="H12" s="31" t="n">
        <f aca="false">H11/G11-1</f>
        <v>0.150925925925926</v>
      </c>
      <c r="I12" s="31" t="n">
        <f aca="false">I11/H11-1</f>
        <v>0.130181818181818</v>
      </c>
      <c r="J12" s="31" t="n">
        <f aca="false">J11/I11-1</f>
        <v>0.0900000000000001</v>
      </c>
      <c r="L12" s="70" t="n">
        <v>0.33</v>
      </c>
      <c r="M12" s="34" t="n">
        <f aca="false">(($D$82-$J$81+(((((($J$7*M$8)*$L12)+($J$62-$J$15))*(1-Hipotesis!$D$10))-((($J$67-$J$11+($J$7*M$8))-$I$67)/Hipotesis!$D$40))/(1+Hipotesis!$D$14)^5))+((((((($J$7*M$8)*$L12)+($J$62-$J$15))*(1-Hipotesis!$D$10))-((($J$67-$J$11+($J$7*M$8))-$I$67)/Hipotesis!$D$40))*(1+Hipotesis!$D$15)/(Hipotesis!$D$14-Hipotesis!$D$15))/(1+Hipotesis!$D$14)^5)+(Hipotesis!$D$49+Hipotesis!$D$50-Hipotesis!$D$51+Hipotesis!$D$52+Hipotesis!$D$53-Hipotesis!$D$54))/Hipotesis!$D$46*1000</f>
        <v>70.8503723734496</v>
      </c>
      <c r="N12" s="34" t="n">
        <f aca="false">(($D$82-$J$81+(((((($J$7*N$8)*$L12)+($J$62-$J$15))*(1-Hipotesis!$D$10))-((($J$67-$J$11+($J$7*N$8))-$I$67)/Hipotesis!$D$40))/(1+Hipotesis!$D$14)^5))+((((((($J$7*N$8)*$L12)+($J$62-$J$15))*(1-Hipotesis!$D$10))-((($J$67-$J$11+($J$7*N$8))-$I$67)/Hipotesis!$D$40))*(1+Hipotesis!$D$15)/(Hipotesis!$D$14-Hipotesis!$D$15))/(1+Hipotesis!$D$14)^5)+(Hipotesis!$D$49+Hipotesis!$D$50-Hipotesis!$D$51+Hipotesis!$D$52+Hipotesis!$D$53-Hipotesis!$D$54))/Hipotesis!$D$46*1000</f>
        <v>71.2845106406667</v>
      </c>
      <c r="O12" s="34" t="n">
        <f aca="false">(($D$82-$J$81+(((((($J$7*O$8)*$L12)+($J$62-$J$15))*(1-Hipotesis!$D$10))-((($J$67-$J$11+($J$7*O$8))-$I$67)/Hipotesis!$D$40))/(1+Hipotesis!$D$14)^5))+((((((($J$7*O$8)*$L12)+($J$62-$J$15))*(1-Hipotesis!$D$10))-((($J$67-$J$11+($J$7*O$8))-$I$67)/Hipotesis!$D$40))*(1+Hipotesis!$D$15)/(Hipotesis!$D$14-Hipotesis!$D$15))/(1+Hipotesis!$D$14)^5)+(Hipotesis!$D$49+Hipotesis!$D$50-Hipotesis!$D$51+Hipotesis!$D$52+Hipotesis!$D$53-Hipotesis!$D$54))/Hipotesis!$D$46*1000</f>
        <v>71.7186489078837</v>
      </c>
      <c r="P12" s="32" t="n">
        <f aca="false">(($D$82-$J$81+(((((($J$7*P$8)*$L12)+($J$62-$J$15))*(1-Hipotesis!$D$10))-((($J$67-$J$11+($J$7*P$8))-$I$67)/Hipotesis!$D$40))/(1+Hipotesis!$D$14)^5))+((((((($J$7*P$8)*$L12)+($J$62-$J$15))*(1-Hipotesis!$D$10))-((($J$67-$J$11+($J$7*P$8))-$I$67)/Hipotesis!$D$40))*(1+Hipotesis!$D$15)/(Hipotesis!$D$14-Hipotesis!$D$15))/(1+Hipotesis!$D$14)^5)+(Hipotesis!$D$49+Hipotesis!$D$50-Hipotesis!$D$51+Hipotesis!$D$52+Hipotesis!$D$53-Hipotesis!$D$54))/Hipotesis!$D$46*1000</f>
        <v>72.1527871751007</v>
      </c>
      <c r="Q12" s="34" t="n">
        <f aca="false">(($D$82-$J$81+(((((($J$7*Q$8)*$L12)+($J$62-$J$15))*(1-Hipotesis!$D$10))-((($J$67-$J$11+($J$7*Q$8))-$I$67)/Hipotesis!$D$40))/(1+Hipotesis!$D$14)^5))+((((((($J$7*Q$8)*$L12)+($J$62-$J$15))*(1-Hipotesis!$D$10))-((($J$67-$J$11+($J$7*Q$8))-$I$67)/Hipotesis!$D$40))*(1+Hipotesis!$D$15)/(Hipotesis!$D$14-Hipotesis!$D$15))/(1+Hipotesis!$D$14)^5)+(Hipotesis!$D$49+Hipotesis!$D$50-Hipotesis!$D$51+Hipotesis!$D$52+Hipotesis!$D$53-Hipotesis!$D$54))/Hipotesis!$D$46*1000</f>
        <v>72.5869254423178</v>
      </c>
      <c r="R12" s="34" t="n">
        <f aca="false">(($D$82-$J$81+(((((($J$7*R$8)*$L12)+($J$62-$J$15))*(1-Hipotesis!$D$10))-((($J$67-$J$11+($J$7*R$8))-$I$67)/Hipotesis!$D$40))/(1+Hipotesis!$D$14)^5))+((((((($J$7*R$8)*$L12)+($J$62-$J$15))*(1-Hipotesis!$D$10))-((($J$67-$J$11+($J$7*R$8))-$I$67)/Hipotesis!$D$40))*(1+Hipotesis!$D$15)/(Hipotesis!$D$14-Hipotesis!$D$15))/(1+Hipotesis!$D$14)^5)+(Hipotesis!$D$49+Hipotesis!$D$50-Hipotesis!$D$51+Hipotesis!$D$52+Hipotesis!$D$53-Hipotesis!$D$54))/Hipotesis!$D$46*1000</f>
        <v>73.0210637095348</v>
      </c>
    </row>
    <row r="13" customFormat="false" ht="15" hidden="false" customHeight="false" outlineLevel="0" collapsed="false">
      <c r="L13" s="68" t="n">
        <v>0.35</v>
      </c>
      <c r="M13" s="34" t="n">
        <f aca="false">(($D$82-$J$81+(((((($J$7*M$8)*$L13)+($J$62-$J$15))*(1-Hipotesis!$D$10))-((($J$67-$J$11+($J$7*M$8))-$I$67)/Hipotesis!$D$40))/(1+Hipotesis!$D$14)^5))+((((((($J$7*M$8)*$L13)+($J$62-$J$15))*(1-Hipotesis!$D$10))-((($J$67-$J$11+($J$7*M$8))-$I$67)/Hipotesis!$D$40))*(1+Hipotesis!$D$15)/(Hipotesis!$D$14-Hipotesis!$D$15))/(1+Hipotesis!$D$14)^5)+(Hipotesis!$D$49+Hipotesis!$D$50-Hipotesis!$D$51+Hipotesis!$D$52+Hipotesis!$D$53-Hipotesis!$D$54))/Hipotesis!$D$46*1000</f>
        <v>73.8000923075027</v>
      </c>
      <c r="N13" s="34" t="n">
        <f aca="false">(($D$82-$J$81+(((((($J$7*N$8)*$L13)+($J$62-$J$15))*(1-Hipotesis!$D$10))-((($J$67-$J$11+($J$7*N$8))-$I$67)/Hipotesis!$D$40))/(1+Hipotesis!$D$14)^5))+((((((($J$7*N$8)*$L13)+($J$62-$J$15))*(1-Hipotesis!$D$10))-((($J$67-$J$11+($J$7*N$8))-$I$67)/Hipotesis!$D$40))*(1+Hipotesis!$D$15)/(Hipotesis!$D$14-Hipotesis!$D$15))/(1+Hipotesis!$D$14)^5)+(Hipotesis!$D$49+Hipotesis!$D$50-Hipotesis!$D$51+Hipotesis!$D$52+Hipotesis!$D$53-Hipotesis!$D$54))/Hipotesis!$D$46*1000</f>
        <v>74.3522193720819</v>
      </c>
      <c r="O13" s="34" t="n">
        <f aca="false">(($D$82-$J$81+(((((($J$7*O$8)*$L13)+($J$62-$J$15))*(1-Hipotesis!$D$10))-((($J$67-$J$11+($J$7*O$8))-$I$67)/Hipotesis!$D$40))/(1+Hipotesis!$D$14)^5))+((((((($J$7*O$8)*$L13)+($J$62-$J$15))*(1-Hipotesis!$D$10))-((($J$67-$J$11+($J$7*O$8))-$I$67)/Hipotesis!$D$40))*(1+Hipotesis!$D$15)/(Hipotesis!$D$14-Hipotesis!$D$15))/(1+Hipotesis!$D$14)^5)+(Hipotesis!$D$49+Hipotesis!$D$50-Hipotesis!$D$51+Hipotesis!$D$52+Hipotesis!$D$53-Hipotesis!$D$54))/Hipotesis!$D$46*1000</f>
        <v>74.9043464366611</v>
      </c>
      <c r="P13" s="34" t="n">
        <f aca="false">(($D$82-$J$81+(((((($J$7*P$8)*$L13)+($J$62-$J$15))*(1-Hipotesis!$D$10))-((($J$67-$J$11+($J$7*P$8))-$I$67)/Hipotesis!$D$40))/(1+Hipotesis!$D$14)^5))+((((((($J$7*P$8)*$L13)+($J$62-$J$15))*(1-Hipotesis!$D$10))-((($J$67-$J$11+($J$7*P$8))-$I$67)/Hipotesis!$D$40))*(1+Hipotesis!$D$15)/(Hipotesis!$D$14-Hipotesis!$D$15))/(1+Hipotesis!$D$14)^5)+(Hipotesis!$D$49+Hipotesis!$D$50-Hipotesis!$D$51+Hipotesis!$D$52+Hipotesis!$D$53-Hipotesis!$D$54))/Hipotesis!$D$46*1000</f>
        <v>75.4564735012402</v>
      </c>
      <c r="Q13" s="34" t="n">
        <f aca="false">(($D$82-$J$81+(((((($J$7*Q$8)*$L13)+($J$62-$J$15))*(1-Hipotesis!$D$10))-((($J$67-$J$11+($J$7*Q$8))-$I$67)/Hipotesis!$D$40))/(1+Hipotesis!$D$14)^5))+((((((($J$7*Q$8)*$L13)+($J$62-$J$15))*(1-Hipotesis!$D$10))-((($J$67-$J$11+($J$7*Q$8))-$I$67)/Hipotesis!$D$40))*(1+Hipotesis!$D$15)/(Hipotesis!$D$14-Hipotesis!$D$15))/(1+Hipotesis!$D$14)^5)+(Hipotesis!$D$49+Hipotesis!$D$50-Hipotesis!$D$51+Hipotesis!$D$52+Hipotesis!$D$53-Hipotesis!$D$54))/Hipotesis!$D$46*1000</f>
        <v>76.0086005658194</v>
      </c>
      <c r="R13" s="34" t="n">
        <f aca="false">(($D$82-$J$81+(((((($J$7*R$8)*$L13)+($J$62-$J$15))*(1-Hipotesis!$D$10))-((($J$67-$J$11+($J$7*R$8))-$I$67)/Hipotesis!$D$40))/(1+Hipotesis!$D$14)^5))+((((((($J$7*R$8)*$L13)+($J$62-$J$15))*(1-Hipotesis!$D$10))-((($J$67-$J$11+($J$7*R$8))-$I$67)/Hipotesis!$D$40))*(1+Hipotesis!$D$15)/(Hipotesis!$D$14-Hipotesis!$D$15))/(1+Hipotesis!$D$14)^5)+(Hipotesis!$D$49+Hipotesis!$D$50-Hipotesis!$D$51+Hipotesis!$D$52+Hipotesis!$D$53-Hipotesis!$D$54))/Hipotesis!$D$46*1000</f>
        <v>76.5607276303986</v>
      </c>
    </row>
    <row r="14" customFormat="false" ht="15" hidden="false" customHeight="false" outlineLevel="0" collapsed="false">
      <c r="B14" s="2" t="s">
        <v>290</v>
      </c>
      <c r="D14" s="55" t="n">
        <v>0.232</v>
      </c>
      <c r="E14" s="55" t="n">
        <v>0.241</v>
      </c>
      <c r="F14" s="25" t="n">
        <f aca="false">Hipotesis!G24</f>
        <v>0.3</v>
      </c>
      <c r="G14" s="25" t="n">
        <f aca="false">Hipotesis!H24</f>
        <v>0.315</v>
      </c>
      <c r="H14" s="25" t="n">
        <f aca="false">Hipotesis!I24</f>
        <v>0.325</v>
      </c>
      <c r="I14" s="25" t="n">
        <f aca="false">Hipotesis!J24</f>
        <v>0.33</v>
      </c>
      <c r="J14" s="25" t="n">
        <f aca="false">Hipotesis!K24</f>
        <v>0.335</v>
      </c>
      <c r="L14" s="68" t="n">
        <v>0.37</v>
      </c>
      <c r="M14" s="34" t="n">
        <f aca="false">(($D$82-$J$81+(((((($J$7*M$8)*$L14)+($J$62-$J$15))*(1-Hipotesis!$D$10))-((($J$67-$J$11+($J$7*M$8))-$I$67)/Hipotesis!$D$40))/(1+Hipotesis!$D$14)^5))+((((((($J$7*M$8)*$L14)+($J$62-$J$15))*(1-Hipotesis!$D$10))-((($J$67-$J$11+($J$7*M$8))-$I$67)/Hipotesis!$D$40))*(1+Hipotesis!$D$15)/(Hipotesis!$D$14-Hipotesis!$D$15))/(1+Hipotesis!$D$14)^5)+(Hipotesis!$D$49+Hipotesis!$D$50-Hipotesis!$D$51+Hipotesis!$D$52+Hipotesis!$D$53-Hipotesis!$D$54))/Hipotesis!$D$46*1000</f>
        <v>76.7498122415558</v>
      </c>
      <c r="N14" s="34" t="n">
        <f aca="false">(($D$82-$J$81+(((((($J$7*N$8)*$L14)+($J$62-$J$15))*(1-Hipotesis!$D$10))-((($J$67-$J$11+($J$7*N$8))-$I$67)/Hipotesis!$D$40))/(1+Hipotesis!$D$14)^5))+((((((($J$7*N$8)*$L14)+($J$62-$J$15))*(1-Hipotesis!$D$10))-((($J$67-$J$11+($J$7*N$8))-$I$67)/Hipotesis!$D$40))*(1+Hipotesis!$D$15)/(Hipotesis!$D$14-Hipotesis!$D$15))/(1+Hipotesis!$D$14)^5)+(Hipotesis!$D$49+Hipotesis!$D$50-Hipotesis!$D$51+Hipotesis!$D$52+Hipotesis!$D$53-Hipotesis!$D$54))/Hipotesis!$D$46*1000</f>
        <v>77.4199281034971</v>
      </c>
      <c r="O14" s="34" t="n">
        <f aca="false">(($D$82-$J$81+(((((($J$7*O$8)*$L14)+($J$62-$J$15))*(1-Hipotesis!$D$10))-((($J$67-$J$11+($J$7*O$8))-$I$67)/Hipotesis!$D$40))/(1+Hipotesis!$D$14)^5))+((((((($J$7*O$8)*$L14)+($J$62-$J$15))*(1-Hipotesis!$D$10))-((($J$67-$J$11+($J$7*O$8))-$I$67)/Hipotesis!$D$40))*(1+Hipotesis!$D$15)/(Hipotesis!$D$14-Hipotesis!$D$15))/(1+Hipotesis!$D$14)^5)+(Hipotesis!$D$49+Hipotesis!$D$50-Hipotesis!$D$51+Hipotesis!$D$52+Hipotesis!$D$53-Hipotesis!$D$54))/Hipotesis!$D$46*1000</f>
        <v>78.0900439654384</v>
      </c>
      <c r="P14" s="34" t="n">
        <f aca="false">(($D$82-$J$81+(((((($J$7*P$8)*$L14)+($J$62-$J$15))*(1-Hipotesis!$D$10))-((($J$67-$J$11+($J$7*P$8))-$I$67)/Hipotesis!$D$40))/(1+Hipotesis!$D$14)^5))+((((((($J$7*P$8)*$L14)+($J$62-$J$15))*(1-Hipotesis!$D$10))-((($J$67-$J$11+($J$7*P$8))-$I$67)/Hipotesis!$D$40))*(1+Hipotesis!$D$15)/(Hipotesis!$D$14-Hipotesis!$D$15))/(1+Hipotesis!$D$14)^5)+(Hipotesis!$D$49+Hipotesis!$D$50-Hipotesis!$D$51+Hipotesis!$D$52+Hipotesis!$D$53-Hipotesis!$D$54))/Hipotesis!$D$46*1000</f>
        <v>78.7601598273797</v>
      </c>
      <c r="Q14" s="34" t="n">
        <f aca="false">(($D$82-$J$81+(((((($J$7*Q$8)*$L14)+($J$62-$J$15))*(1-Hipotesis!$D$10))-((($J$67-$J$11+($J$7*Q$8))-$I$67)/Hipotesis!$D$40))/(1+Hipotesis!$D$14)^5))+((((((($J$7*Q$8)*$L14)+($J$62-$J$15))*(1-Hipotesis!$D$10))-((($J$67-$J$11+($J$7*Q$8))-$I$67)/Hipotesis!$D$40))*(1+Hipotesis!$D$15)/(Hipotesis!$D$14-Hipotesis!$D$15))/(1+Hipotesis!$D$14)^5)+(Hipotesis!$D$49+Hipotesis!$D$50-Hipotesis!$D$51+Hipotesis!$D$52+Hipotesis!$D$53-Hipotesis!$D$54))/Hipotesis!$D$46*1000</f>
        <v>79.430275689321</v>
      </c>
      <c r="R14" s="34" t="n">
        <f aca="false">(($D$82-$J$81+(((((($J$7*R$8)*$L14)+($J$62-$J$15))*(1-Hipotesis!$D$10))-((($J$67-$J$11+($J$7*R$8))-$I$67)/Hipotesis!$D$40))/(1+Hipotesis!$D$14)^5))+((((((($J$7*R$8)*$L14)+($J$62-$J$15))*(1-Hipotesis!$D$10))-((($J$67-$J$11+($J$7*R$8))-$I$67)/Hipotesis!$D$40))*(1+Hipotesis!$D$15)/(Hipotesis!$D$14-Hipotesis!$D$15))/(1+Hipotesis!$D$14)^5)+(Hipotesis!$D$49+Hipotesis!$D$50-Hipotesis!$D$51+Hipotesis!$D$52+Hipotesis!$D$53-Hipotesis!$D$54))/Hipotesis!$D$46*1000</f>
        <v>80.1003915512623</v>
      </c>
    </row>
    <row r="15" customFormat="false" ht="15" hidden="false" customHeight="false" outlineLevel="0" collapsed="false">
      <c r="B15" s="2" t="s">
        <v>291</v>
      </c>
      <c r="D15" s="69" t="n">
        <f aca="false">D11*D14</f>
        <v>5819.952</v>
      </c>
      <c r="E15" s="69" t="n">
        <f aca="false">E11*E14</f>
        <v>7150.47</v>
      </c>
      <c r="F15" s="69" t="n">
        <f aca="false">F11*F14</f>
        <v>9125.7192</v>
      </c>
      <c r="G15" s="69" t="n">
        <f aca="false">G11*G14</f>
        <v>11542.6308312</v>
      </c>
      <c r="H15" s="69" t="n">
        <f aca="false">H11*H14</f>
        <v>13706.4500001</v>
      </c>
      <c r="I15" s="69" t="n">
        <f aca="false">I11*I14</f>
        <v>15729.1002831917</v>
      </c>
      <c r="J15" s="69" t="n">
        <f aca="false">J11*J14</f>
        <v>17404.4877830529</v>
      </c>
    </row>
    <row r="16" customFormat="false" ht="15" hidden="false" customHeight="false" outlineLevel="0" collapsed="false">
      <c r="B16" s="24" t="s">
        <v>292</v>
      </c>
      <c r="D16" s="53" t="n">
        <f aca="false">D15/D7</f>
        <v>0.0711807541308416</v>
      </c>
      <c r="E16" s="53" t="n">
        <f aca="false">E15/E7</f>
        <v>0.0733404104741684</v>
      </c>
      <c r="F16" s="53" t="n">
        <f aca="false">F15/F7</f>
        <v>0.078</v>
      </c>
      <c r="G16" s="53" t="n">
        <f aca="false">G15/G7</f>
        <v>0.08505</v>
      </c>
      <c r="H16" s="53" t="n">
        <f aca="false">H15/H7</f>
        <v>0.089375</v>
      </c>
      <c r="I16" s="53" t="n">
        <f aca="false">I15/I7</f>
        <v>0.0924</v>
      </c>
      <c r="J16" s="53" t="n">
        <f aca="false">J15/J7</f>
        <v>0.0938</v>
      </c>
      <c r="L16" s="20" t="s">
        <v>293</v>
      </c>
      <c r="M16" s="20"/>
      <c r="N16" s="20"/>
      <c r="O16" s="20"/>
      <c r="P16" s="20"/>
      <c r="Q16" s="20"/>
      <c r="R16" s="20"/>
      <c r="S16" s="20"/>
    </row>
    <row r="18" customFormat="false" ht="18" hidden="false" customHeight="true" outlineLevel="0" collapsed="false">
      <c r="A18" s="9" t="s">
        <v>294</v>
      </c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B19" s="2" t="s">
        <v>287</v>
      </c>
      <c r="D19" s="23" t="n">
        <f aca="false">Historico!H35</f>
        <v>75144</v>
      </c>
      <c r="E19" s="23" t="n">
        <f aca="false">Historico!I35</f>
        <v>90864</v>
      </c>
      <c r="F19" s="21" t="n">
        <f aca="false">E19*(1+Hipotesis!G27)</f>
        <v>110854.08</v>
      </c>
      <c r="G19" s="21" t="n">
        <f aca="false">F19*(1+Hipotesis!H27)</f>
        <v>130807.8144</v>
      </c>
      <c r="H19" s="21" t="n">
        <f aca="false">G19*(1+Hipotesis!I27)</f>
        <v>149120.908416</v>
      </c>
      <c r="I19" s="21" t="n">
        <f aca="false">H19*(1+Hipotesis!J27)</f>
        <v>165524.20834176</v>
      </c>
      <c r="J19" s="21" t="n">
        <f aca="false">I19*(1+Hipotesis!K27)</f>
        <v>180421.387092518</v>
      </c>
    </row>
    <row r="20" customFormat="false" ht="15" hidden="false" customHeight="false" outlineLevel="0" collapsed="false">
      <c r="B20" s="24" t="s">
        <v>78</v>
      </c>
      <c r="E20" s="31" t="n">
        <f aca="false">E19/D19-1</f>
        <v>0.209198339188758</v>
      </c>
      <c r="F20" s="31" t="n">
        <f aca="false">F19/E19-1</f>
        <v>0.22</v>
      </c>
      <c r="G20" s="31" t="n">
        <f aca="false">G19/F19-1</f>
        <v>0.18</v>
      </c>
      <c r="H20" s="31" t="n">
        <f aca="false">H19/G19-1</f>
        <v>0.14</v>
      </c>
      <c r="I20" s="31" t="n">
        <f aca="false">I19/H19-1</f>
        <v>0.11</v>
      </c>
      <c r="J20" s="31" t="n">
        <f aca="false">J19/I19-1</f>
        <v>0.0900000000000001</v>
      </c>
    </row>
    <row r="22" customFormat="false" ht="15" hidden="false" customHeight="false" outlineLevel="0" collapsed="false">
      <c r="B22" s="2" t="s">
        <v>204</v>
      </c>
      <c r="D22" s="25" t="n">
        <f aca="false">Historico!H37</f>
        <v>0.182915468966251</v>
      </c>
      <c r="E22" s="25" t="n">
        <f aca="false">Historico!I37</f>
        <v>0.189822151787286</v>
      </c>
      <c r="F22" s="25" t="n">
        <f aca="false">Hipotesis!G28</f>
        <v>0.195</v>
      </c>
      <c r="G22" s="25" t="n">
        <f aca="false">Hipotesis!H28</f>
        <v>0.198</v>
      </c>
      <c r="H22" s="25" t="n">
        <f aca="false">Hipotesis!I28</f>
        <v>0.2</v>
      </c>
      <c r="I22" s="25" t="n">
        <f aca="false">Hipotesis!J28</f>
        <v>0.2</v>
      </c>
      <c r="J22" s="25" t="n">
        <f aca="false">Hipotesis!K28</f>
        <v>0.2</v>
      </c>
    </row>
    <row r="23" customFormat="false" ht="15" hidden="false" customHeight="false" outlineLevel="0" collapsed="false">
      <c r="B23" s="2" t="s">
        <v>77</v>
      </c>
      <c r="D23" s="69" t="n">
        <f aca="false">D19*D22</f>
        <v>13745</v>
      </c>
      <c r="E23" s="69" t="n">
        <f aca="false">E19*E22</f>
        <v>17248</v>
      </c>
      <c r="F23" s="69" t="n">
        <f aca="false">F19*F22</f>
        <v>21616.5456</v>
      </c>
      <c r="G23" s="69" t="n">
        <f aca="false">G19*G22</f>
        <v>25899.9472512</v>
      </c>
      <c r="H23" s="69" t="n">
        <f aca="false">H19*H22</f>
        <v>29824.1816832</v>
      </c>
      <c r="I23" s="69" t="n">
        <f aca="false">I19*I22</f>
        <v>33104.841668352</v>
      </c>
      <c r="J23" s="69" t="n">
        <f aca="false">J19*J22</f>
        <v>36084.2774185037</v>
      </c>
    </row>
    <row r="25" customFormat="false" ht="15" hidden="false" customHeight="false" outlineLevel="0" collapsed="false">
      <c r="B25" s="2" t="s">
        <v>290</v>
      </c>
      <c r="D25" s="55" t="n">
        <v>0.183</v>
      </c>
      <c r="E25" s="55" t="n">
        <v>0.207</v>
      </c>
      <c r="F25" s="25" t="n">
        <f aca="false">Hipotesis!G29</f>
        <v>0.19</v>
      </c>
      <c r="G25" s="25" t="n">
        <f aca="false">Hipotesis!H29</f>
        <v>0.205</v>
      </c>
      <c r="H25" s="25" t="n">
        <f aca="false">Hipotesis!I29</f>
        <v>0.215</v>
      </c>
      <c r="I25" s="25" t="n">
        <f aca="false">Hipotesis!J29</f>
        <v>0.22</v>
      </c>
      <c r="J25" s="25" t="n">
        <f aca="false">Hipotesis!K29</f>
        <v>0.225</v>
      </c>
    </row>
    <row r="26" customFormat="false" ht="15" hidden="false" customHeight="false" outlineLevel="0" collapsed="false">
      <c r="B26" s="2" t="s">
        <v>291</v>
      </c>
      <c r="D26" s="69" t="n">
        <f aca="false">D23*D25</f>
        <v>2515.335</v>
      </c>
      <c r="E26" s="69" t="n">
        <f aca="false">E23*E25</f>
        <v>3570.336</v>
      </c>
      <c r="F26" s="69" t="n">
        <f aca="false">F23*F25</f>
        <v>4107.143664</v>
      </c>
      <c r="G26" s="69" t="n">
        <f aca="false">G23*G25</f>
        <v>5309.489186496</v>
      </c>
      <c r="H26" s="69" t="n">
        <f aca="false">H23*H25</f>
        <v>6412.199061888</v>
      </c>
      <c r="I26" s="69" t="n">
        <f aca="false">I23*I25</f>
        <v>7283.06516703744</v>
      </c>
      <c r="J26" s="69" t="n">
        <f aca="false">J23*J25</f>
        <v>8118.96241916333</v>
      </c>
    </row>
    <row r="28" customFormat="false" ht="18" hidden="false" customHeight="true" outlineLevel="0" collapsed="false">
      <c r="A28" s="9" t="s">
        <v>295</v>
      </c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B29" s="2" t="s">
        <v>287</v>
      </c>
      <c r="D29" s="23" t="n">
        <f aca="false">Historico!H40</f>
        <v>5277</v>
      </c>
      <c r="E29" s="23" t="n">
        <f aca="false">Historico!I40</f>
        <v>5141</v>
      </c>
      <c r="F29" s="21" t="n">
        <f aca="false">E29*(1+Hipotesis!G32)</f>
        <v>5398.05</v>
      </c>
      <c r="G29" s="21" t="n">
        <f aca="false">F29*(1+Hipotesis!H32)</f>
        <v>5667.9525</v>
      </c>
      <c r="H29" s="21" t="n">
        <f aca="false">G29*(1+Hipotesis!I32)</f>
        <v>5894.6706</v>
      </c>
      <c r="I29" s="21" t="n">
        <f aca="false">H29*(1+Hipotesis!J32)</f>
        <v>6071.510718</v>
      </c>
      <c r="J29" s="21" t="n">
        <f aca="false">I29*(1+Hipotesis!K32)</f>
        <v>6253.65603954</v>
      </c>
    </row>
    <row r="31" customFormat="false" ht="15" hidden="false" customHeight="false" outlineLevel="0" collapsed="false">
      <c r="B31" s="2" t="s">
        <v>207</v>
      </c>
      <c r="D31" s="31" t="n">
        <f aca="false">1</f>
        <v>1</v>
      </c>
      <c r="E31" s="31" t="n">
        <f aca="false">1</f>
        <v>1</v>
      </c>
      <c r="F31" s="25" t="n">
        <f aca="false">Hipotesis!G33</f>
        <v>1</v>
      </c>
      <c r="G31" s="25" t="n">
        <f aca="false">Hipotesis!H33</f>
        <v>1</v>
      </c>
      <c r="H31" s="25" t="n">
        <f aca="false">Hipotesis!I33</f>
        <v>1</v>
      </c>
      <c r="I31" s="25" t="n">
        <f aca="false">Hipotesis!J33</f>
        <v>1</v>
      </c>
      <c r="J31" s="25" t="n">
        <f aca="false">Hipotesis!K33</f>
        <v>1</v>
      </c>
    </row>
    <row r="32" customFormat="false" ht="15" hidden="false" customHeight="false" outlineLevel="0" collapsed="false">
      <c r="B32" s="2" t="s">
        <v>77</v>
      </c>
      <c r="D32" s="69" t="n">
        <f aca="false">D29*D31</f>
        <v>5277</v>
      </c>
      <c r="E32" s="69" t="n">
        <f aca="false">E29*E31</f>
        <v>5141</v>
      </c>
      <c r="F32" s="69" t="n">
        <f aca="false">F29*F31</f>
        <v>5398.05</v>
      </c>
      <c r="G32" s="69" t="n">
        <f aca="false">G29*G31</f>
        <v>5667.9525</v>
      </c>
      <c r="H32" s="69" t="n">
        <f aca="false">H29*H31</f>
        <v>5894.6706</v>
      </c>
      <c r="I32" s="69" t="n">
        <f aca="false">I29*I31</f>
        <v>6071.510718</v>
      </c>
      <c r="J32" s="69" t="n">
        <f aca="false">J29*J31</f>
        <v>6253.65603954</v>
      </c>
    </row>
    <row r="34" customFormat="false" ht="15" hidden="false" customHeight="false" outlineLevel="0" collapsed="false">
      <c r="B34" s="2" t="s">
        <v>290</v>
      </c>
      <c r="D34" s="55" t="n">
        <v>-0.021</v>
      </c>
      <c r="E34" s="55" t="n">
        <v>-0.006</v>
      </c>
      <c r="F34" s="25" t="n">
        <f aca="false">Hipotesis!G34</f>
        <v>-0.015</v>
      </c>
      <c r="G34" s="25" t="n">
        <f aca="false">Hipotesis!H34</f>
        <v>0</v>
      </c>
      <c r="H34" s="25" t="n">
        <f aca="false">Hipotesis!I34</f>
        <v>0.005</v>
      </c>
      <c r="I34" s="25" t="n">
        <f aca="false">Hipotesis!J34</f>
        <v>0.01</v>
      </c>
      <c r="J34" s="25" t="n">
        <f aca="false">Hipotesis!K34</f>
        <v>0.015</v>
      </c>
    </row>
    <row r="35" customFormat="false" ht="15" hidden="false" customHeight="false" outlineLevel="0" collapsed="false">
      <c r="B35" s="2" t="s">
        <v>291</v>
      </c>
      <c r="D35" s="69" t="n">
        <f aca="false">D32*D34</f>
        <v>-110.817</v>
      </c>
      <c r="E35" s="69" t="n">
        <f aca="false">E32*E34</f>
        <v>-30.846</v>
      </c>
      <c r="F35" s="69" t="n">
        <f aca="false">F32*F34</f>
        <v>-80.97075</v>
      </c>
      <c r="G35" s="69" t="n">
        <f aca="false">G32*G34</f>
        <v>0</v>
      </c>
      <c r="H35" s="69" t="n">
        <f aca="false">H32*H34</f>
        <v>29.473353</v>
      </c>
      <c r="I35" s="69" t="n">
        <f aca="false">I32*I34</f>
        <v>60.71510718</v>
      </c>
      <c r="J35" s="69" t="n">
        <f aca="false">J32*J34</f>
        <v>93.8048405931</v>
      </c>
    </row>
    <row r="37" customFormat="false" ht="18" hidden="false" customHeight="true" outlineLevel="0" collapsed="false">
      <c r="A37" s="9" t="s">
        <v>296</v>
      </c>
      <c r="B37" s="9"/>
      <c r="C37" s="9"/>
      <c r="D37" s="9"/>
      <c r="E37" s="9"/>
      <c r="F37" s="9"/>
      <c r="G37" s="9"/>
      <c r="L37" s="9" t="s">
        <v>297</v>
      </c>
      <c r="M37" s="9"/>
      <c r="N37" s="9"/>
      <c r="O37" s="9"/>
      <c r="P37" s="9"/>
      <c r="Q37" s="9"/>
      <c r="R37" s="9"/>
    </row>
    <row r="38" customFormat="false" ht="15" hidden="false" customHeight="false" outlineLevel="0" collapsed="false">
      <c r="B38" s="24" t="s">
        <v>298</v>
      </c>
      <c r="D38" s="21" t="n">
        <f aca="false">D7+D19+D29</f>
        <v>162184</v>
      </c>
      <c r="E38" s="21" t="n">
        <f aca="false">E7+E19+E29</f>
        <v>193502</v>
      </c>
      <c r="F38" s="21" t="n">
        <f aca="false">F7+F19+F29</f>
        <v>233248.53</v>
      </c>
      <c r="G38" s="21" t="n">
        <f aca="false">G7+G19+G29</f>
        <v>272191.5909</v>
      </c>
      <c r="H38" s="21" t="n">
        <f aca="false">H7+H19+H29</f>
        <v>308374.460136</v>
      </c>
      <c r="I38" s="21" t="n">
        <f aca="false">I7+I19+I29</f>
        <v>341824.07710296</v>
      </c>
      <c r="J38" s="21" t="n">
        <f aca="false">J7+J19+J29</f>
        <v>372223.953399146</v>
      </c>
      <c r="L38" s="35" t="s">
        <v>299</v>
      </c>
      <c r="M38" s="36"/>
      <c r="N38" s="36"/>
      <c r="O38" s="36"/>
      <c r="P38" s="36"/>
      <c r="Q38" s="36"/>
      <c r="R38" s="36"/>
    </row>
    <row r="39" customFormat="false" ht="15" hidden="false" customHeight="false" outlineLevel="0" collapsed="false">
      <c r="B39" s="2" t="s">
        <v>300</v>
      </c>
      <c r="D39" s="54" t="n">
        <v>0.0207</v>
      </c>
      <c r="E39" s="54" t="n">
        <v>0.0206</v>
      </c>
      <c r="F39" s="40" t="n">
        <f aca="false">Hipotesis!G37</f>
        <v>0.02</v>
      </c>
      <c r="G39" s="40" t="n">
        <f aca="false">Hipotesis!H37</f>
        <v>0.018</v>
      </c>
      <c r="H39" s="40" t="n">
        <f aca="false">Hipotesis!I37</f>
        <v>0.016</v>
      </c>
      <c r="I39" s="40" t="n">
        <f aca="false">Hipotesis!J37</f>
        <v>0.015</v>
      </c>
      <c r="J39" s="40" t="n">
        <f aca="false">Hipotesis!K37</f>
        <v>0.014</v>
      </c>
      <c r="M39" s="71" t="n">
        <v>0.085</v>
      </c>
      <c r="N39" s="71" t="n">
        <v>0.092</v>
      </c>
      <c r="O39" s="71" t="n">
        <v>0.098</v>
      </c>
      <c r="P39" s="72" t="n">
        <v>0.105</v>
      </c>
      <c r="Q39" s="71" t="n">
        <v>0.112</v>
      </c>
      <c r="R39" s="71" t="n">
        <v>0.118</v>
      </c>
    </row>
    <row r="40" customFormat="false" ht="15" hidden="false" customHeight="false" outlineLevel="0" collapsed="false">
      <c r="B40" s="2" t="s">
        <v>301</v>
      </c>
      <c r="D40" s="69" t="n">
        <f aca="false">-D38*D39</f>
        <v>-3357.2088</v>
      </c>
      <c r="E40" s="69" t="n">
        <f aca="false">-E38*E39</f>
        <v>-3986.1412</v>
      </c>
      <c r="F40" s="69" t="n">
        <f aca="false">-F38*F39</f>
        <v>-4664.9706</v>
      </c>
      <c r="G40" s="69" t="n">
        <f aca="false">-G38*G39</f>
        <v>-4899.4486362</v>
      </c>
      <c r="H40" s="69" t="n">
        <f aca="false">-H38*H39</f>
        <v>-4933.991362176</v>
      </c>
      <c r="I40" s="69" t="n">
        <f aca="false">-I38*I39</f>
        <v>-5127.3611565444</v>
      </c>
      <c r="J40" s="69" t="n">
        <f aca="false">-J38*J39</f>
        <v>-5211.13534758805</v>
      </c>
      <c r="L40" s="73" t="n">
        <v>0.005</v>
      </c>
      <c r="M40" s="34" t="n">
        <f aca="false">(($F$75/(1+M$39)^1+$G$75/(1+M$39)^2+$H$75/(1+M$39)^3+$I$75/(1+M$39)^4+((($J$62+(-$J$40-($L40*$J$38)))*(1-Hipotesis!$D$10))-(($J$67-$I$67)/Hipotesis!$D$40))/(1+M$39)^5)+((((($J$62+(-$J$40-($L40*$J$38)))*(1-Hipotesis!$D$10))-(($J$67-$I$67)/Hipotesis!$D$40))*(1+Hipotesis!$D$15)/(M$39-Hipotesis!$D$15))/(1+M$39)^5)+(Hipotesis!$D$49+Hipotesis!$D$50-Hipotesis!$D$51+Hipotesis!$D$52+Hipotesis!$D$53-Hipotesis!$D$54))/Hipotesis!$D$46*1000</f>
        <v>113.73860863919</v>
      </c>
      <c r="N40" s="34" t="n">
        <f aca="false">(($F$75/(1+N$39)^1+$G$75/(1+N$39)^2+$H$75/(1+N$39)^3+$I$75/(1+N$39)^4+((($J$62+(-$J$40-($L40*$J$38)))*(1-Hipotesis!$D$10))-(($J$67-$I$67)/Hipotesis!$D$40))/(1+N$39)^5)+((((($J$62+(-$J$40-($L40*$J$38)))*(1-Hipotesis!$D$10))-(($J$67-$I$67)/Hipotesis!$D$40))*(1+Hipotesis!$D$15)/(N$39-Hipotesis!$D$15))/(1+N$39)^5)+(Hipotesis!$D$49+Hipotesis!$D$50-Hipotesis!$D$51+Hipotesis!$D$52+Hipotesis!$D$53-Hipotesis!$D$54))/Hipotesis!$D$46*1000</f>
        <v>100.919735379105</v>
      </c>
      <c r="O40" s="34" t="n">
        <f aca="false">(($F$75/(1+O$39)^1+$G$75/(1+O$39)^2+$H$75/(1+O$39)^3+$I$75/(1+O$39)^4+((($J$62+(-$J$40-($L40*$J$38)))*(1-Hipotesis!$D$10))-(($J$67-$I$67)/Hipotesis!$D$40))/(1+O$39)^5)+((((($J$62+(-$J$40-($L40*$J$38)))*(1-Hipotesis!$D$10))-(($J$67-$I$67)/Hipotesis!$D$40))*(1+Hipotesis!$D$15)/(O$39-Hipotesis!$D$15))/(1+O$39)^5)+(Hipotesis!$D$49+Hipotesis!$D$50-Hipotesis!$D$51+Hipotesis!$D$52+Hipotesis!$D$53-Hipotesis!$D$54))/Hipotesis!$D$46*1000</f>
        <v>91.9100779892633</v>
      </c>
      <c r="P40" s="34" t="n">
        <f aca="false">(($F$75/(1+P$39)^1+$G$75/(1+P$39)^2+$H$75/(1+P$39)^3+$I$75/(1+P$39)^4+((($J$62+(-$J$40-($L40*$J$38)))*(1-Hipotesis!$D$10))-(($J$67-$I$67)/Hipotesis!$D$40))/(1+P$39)^5)+((((($J$62+(-$J$40-($L40*$J$38)))*(1-Hipotesis!$D$10))-(($J$67-$I$67)/Hipotesis!$D$40))*(1+Hipotesis!$D$15)/(P$39-Hipotesis!$D$15))/(1+P$39)^5)+(Hipotesis!$D$49+Hipotesis!$D$50-Hipotesis!$D$51+Hipotesis!$D$52+Hipotesis!$D$53-Hipotesis!$D$54))/Hipotesis!$D$46*1000</f>
        <v>83.1287761295971</v>
      </c>
      <c r="Q40" s="34" t="n">
        <f aca="false">(($F$75/(1+Q$39)^1+$G$75/(1+Q$39)^2+$H$75/(1+Q$39)^3+$I$75/(1+Q$39)^4+((($J$62+(-$J$40-($L40*$J$38)))*(1-Hipotesis!$D$10))-(($J$67-$I$67)/Hipotesis!$D$40))/(1+Q$39)^5)+((((($J$62+(-$J$40-($L40*$J$38)))*(1-Hipotesis!$D$10))-(($J$67-$I$67)/Hipotesis!$D$40))*(1+Hipotesis!$D$15)/(Q$39-Hipotesis!$D$15))/(1+Q$39)^5)+(Hipotesis!$D$49+Hipotesis!$D$50-Hipotesis!$D$51+Hipotesis!$D$52+Hipotesis!$D$53-Hipotesis!$D$54))/Hipotesis!$D$46*1000</f>
        <v>75.781525293875</v>
      </c>
      <c r="R40" s="34" t="n">
        <f aca="false">(($F$75/(1+R$39)^1+$G$75/(1+R$39)^2+$H$75/(1+R$39)^3+$I$75/(1+R$39)^4+((($J$62+(-$J$40-($L40*$J$38)))*(1-Hipotesis!$D$10))-(($J$67-$I$67)/Hipotesis!$D$40))/(1+R$39)^5)+((((($J$62+(-$J$40-($L40*$J$38)))*(1-Hipotesis!$D$10))-(($J$67-$I$67)/Hipotesis!$D$40))*(1+Hipotesis!$D$15)/(R$39-Hipotesis!$D$15))/(1+R$39)^5)+(Hipotesis!$D$49+Hipotesis!$D$50-Hipotesis!$D$51+Hipotesis!$D$52+Hipotesis!$D$53-Hipotesis!$D$54))/Hipotesis!$D$46*1000</f>
        <v>70.3793057321006</v>
      </c>
    </row>
    <row r="41" customFormat="false" ht="15" hidden="false" customHeight="false" outlineLevel="0" collapsed="false">
      <c r="L41" s="73" t="n">
        <v>0.01</v>
      </c>
      <c r="M41" s="34" t="n">
        <f aca="false">(($F$75/(1+M$39)^1+$G$75/(1+M$39)^2+$H$75/(1+M$39)^3+$I$75/(1+M$39)^4+((($J$62+(-$J$40-($L41*$J$38)))*(1-Hipotesis!$D$10))-(($J$67-$I$67)/Hipotesis!$D$40))/(1+M$39)^5)+((((($J$62+(-$J$40-($L41*$J$38)))*(1-Hipotesis!$D$10))-(($J$67-$I$67)/Hipotesis!$D$40))*(1+Hipotesis!$D$15)/(M$39-Hipotesis!$D$15))/(1+M$39)^5)+(Hipotesis!$D$49+Hipotesis!$D$50-Hipotesis!$D$51+Hipotesis!$D$52+Hipotesis!$D$53-Hipotesis!$D$54))/Hipotesis!$D$46*1000</f>
        <v>105.310373636967</v>
      </c>
      <c r="N41" s="34" t="n">
        <f aca="false">(($F$75/(1+N$39)^1+$G$75/(1+N$39)^2+$H$75/(1+N$39)^3+$I$75/(1+N$39)^4+((($J$62+(-$J$40-($L41*$J$38)))*(1-Hipotesis!$D$10))-(($J$67-$I$67)/Hipotesis!$D$40))/(1+N$39)^5)+((((($J$62+(-$J$40-($L41*$J$38)))*(1-Hipotesis!$D$10))-(($J$67-$I$67)/Hipotesis!$D$40))*(1+Hipotesis!$D$15)/(N$39-Hipotesis!$D$15))/(1+N$39)^5)+(Hipotesis!$D$49+Hipotesis!$D$50-Hipotesis!$D$51+Hipotesis!$D$52+Hipotesis!$D$53-Hipotesis!$D$54))/Hipotesis!$D$46*1000</f>
        <v>93.563739396722</v>
      </c>
      <c r="O41" s="34" t="n">
        <f aca="false">(($F$75/(1+O$39)^1+$G$75/(1+O$39)^2+$H$75/(1+O$39)^3+$I$75/(1+O$39)^4+((($J$62+(-$J$40-($L41*$J$38)))*(1-Hipotesis!$D$10))-(($J$67-$I$67)/Hipotesis!$D$40))/(1+O$39)^5)+((((($J$62+(-$J$40-($L41*$J$38)))*(1-Hipotesis!$D$10))-(($J$67-$I$67)/Hipotesis!$D$40))*(1+Hipotesis!$D$15)/(O$39-Hipotesis!$D$15))/(1+O$39)^5)+(Hipotesis!$D$49+Hipotesis!$D$50-Hipotesis!$D$51+Hipotesis!$D$52+Hipotesis!$D$53-Hipotesis!$D$54))/Hipotesis!$D$46*1000</f>
        <v>85.3050506591498</v>
      </c>
      <c r="P41" s="34" t="n">
        <f aca="false">(($F$75/(1+P$39)^1+$G$75/(1+P$39)^2+$H$75/(1+P$39)^3+$I$75/(1+P$39)^4+((($J$62+(-$J$40-($L41*$J$38)))*(1-Hipotesis!$D$10))-(($J$67-$I$67)/Hipotesis!$D$40))/(1+P$39)^5)+((((($J$62+(-$J$40-($L41*$J$38)))*(1-Hipotesis!$D$10))-(($J$67-$I$67)/Hipotesis!$D$40))*(1+Hipotesis!$D$15)/(P$39-Hipotesis!$D$15))/(1+P$39)^5)+(Hipotesis!$D$49+Hipotesis!$D$50-Hipotesis!$D$51+Hipotesis!$D$52+Hipotesis!$D$53-Hipotesis!$D$54))/Hipotesis!$D$46*1000</f>
        <v>77.252966177572</v>
      </c>
      <c r="Q41" s="34" t="n">
        <f aca="false">(($F$75/(1+Q$39)^1+$G$75/(1+Q$39)^2+$H$75/(1+Q$39)^3+$I$75/(1+Q$39)^4+((($J$62+(-$J$40-($L41*$J$38)))*(1-Hipotesis!$D$10))-(($J$67-$I$67)/Hipotesis!$D$40))/(1+Q$39)^5)+((((($J$62+(-$J$40-($L41*$J$38)))*(1-Hipotesis!$D$10))-(($J$67-$I$67)/Hipotesis!$D$40))*(1+Hipotesis!$D$15)/(Q$39-Hipotesis!$D$15))/(1+Q$39)^5)+(Hipotesis!$D$49+Hipotesis!$D$50-Hipotesis!$D$51+Hipotesis!$D$52+Hipotesis!$D$53-Hipotesis!$D$54))/Hipotesis!$D$46*1000</f>
        <v>70.5132502791545</v>
      </c>
      <c r="R41" s="34" t="n">
        <f aca="false">(($F$75/(1+R$39)^1+$G$75/(1+R$39)^2+$H$75/(1+R$39)^3+$I$75/(1+R$39)^4+((($J$62+(-$J$40-($L41*$J$38)))*(1-Hipotesis!$D$10))-(($J$67-$I$67)/Hipotesis!$D$40))/(1+R$39)^5)+((((($J$62+(-$J$40-($L41*$J$38)))*(1-Hipotesis!$D$10))-(($J$67-$I$67)/Hipotesis!$D$40))*(1+Hipotesis!$D$15)/(R$39-Hipotesis!$D$15))/(1+R$39)^5)+(Hipotesis!$D$49+Hipotesis!$D$50-Hipotesis!$D$51+Hipotesis!$D$52+Hipotesis!$D$53-Hipotesis!$D$54))/Hipotesis!$D$46*1000</f>
        <v>65.5558679956473</v>
      </c>
    </row>
    <row r="42" customFormat="false" ht="15" hidden="false" customHeight="false" outlineLevel="0" collapsed="false">
      <c r="L42" s="74" t="n">
        <v>0.014</v>
      </c>
      <c r="M42" s="34" t="n">
        <f aca="false">(($F$75/(1+M$39)^1+$G$75/(1+M$39)^2+$H$75/(1+M$39)^3+$I$75/(1+M$39)^4+((($J$62+(-$J$40-($L42*$J$38)))*(1-Hipotesis!$D$10))-(($J$67-$I$67)/Hipotesis!$D$40))/(1+M$39)^5)+((((($J$62+(-$J$40-($L42*$J$38)))*(1-Hipotesis!$D$10))-(($J$67-$I$67)/Hipotesis!$D$40))*(1+Hipotesis!$D$15)/(M$39-Hipotesis!$D$15))/(1+M$39)^5)+(Hipotesis!$D$49+Hipotesis!$D$50-Hipotesis!$D$51+Hipotesis!$D$52+Hipotesis!$D$53-Hipotesis!$D$54))/Hipotesis!$D$46*1000</f>
        <v>98.5677856351887</v>
      </c>
      <c r="N42" s="34" t="n">
        <f aca="false">(($F$75/(1+N$39)^1+$G$75/(1+N$39)^2+$H$75/(1+N$39)^3+$I$75/(1+N$39)^4+((($J$62+(-$J$40-($L42*$J$38)))*(1-Hipotesis!$D$10))-(($J$67-$I$67)/Hipotesis!$D$40))/(1+N$39)^5)+((((($J$62+(-$J$40-($L42*$J$38)))*(1-Hipotesis!$D$10))-(($J$67-$I$67)/Hipotesis!$D$40))*(1+Hipotesis!$D$15)/(N$39-Hipotesis!$D$15))/(1+N$39)^5)+(Hipotesis!$D$49+Hipotesis!$D$50-Hipotesis!$D$51+Hipotesis!$D$52+Hipotesis!$D$53-Hipotesis!$D$54))/Hipotesis!$D$46*1000</f>
        <v>87.6789426108154</v>
      </c>
      <c r="O42" s="34" t="n">
        <f aca="false">(($F$75/(1+O$39)^1+$G$75/(1+O$39)^2+$H$75/(1+O$39)^3+$I$75/(1+O$39)^4+((($J$62+(-$J$40-($L42*$J$38)))*(1-Hipotesis!$D$10))-(($J$67-$I$67)/Hipotesis!$D$40))/(1+O$39)^5)+((((($J$62+(-$J$40-($L42*$J$38)))*(1-Hipotesis!$D$10))-(($J$67-$I$67)/Hipotesis!$D$40))*(1+Hipotesis!$D$15)/(O$39-Hipotesis!$D$15))/(1+O$39)^5)+(Hipotesis!$D$49+Hipotesis!$D$50-Hipotesis!$D$51+Hipotesis!$D$52+Hipotesis!$D$53-Hipotesis!$D$54))/Hipotesis!$D$46*1000</f>
        <v>80.021028795059</v>
      </c>
      <c r="P42" s="32" t="n">
        <f aca="false">(($F$75/(1+P$39)^1+$G$75/(1+P$39)^2+$H$75/(1+P$39)^3+$I$75/(1+P$39)^4+((($J$62+(-$J$40-($L42*$J$38)))*(1-Hipotesis!$D$10))-(($J$67-$I$67)/Hipotesis!$D$40))/(1+P$39)^5)+((((($J$62+(-$J$40-($L42*$J$38)))*(1-Hipotesis!$D$10))-(($J$67-$I$67)/Hipotesis!$D$40))*(1+Hipotesis!$D$15)/(P$39-Hipotesis!$D$15))/(1+P$39)^5)+(Hipotesis!$D$49+Hipotesis!$D$50-Hipotesis!$D$51+Hipotesis!$D$52+Hipotesis!$D$53-Hipotesis!$D$54))/Hipotesis!$D$46*1000</f>
        <v>72.5523182159518</v>
      </c>
      <c r="Q42" s="34" t="n">
        <f aca="false">(($F$75/(1+Q$39)^1+$G$75/(1+Q$39)^2+$H$75/(1+Q$39)^3+$I$75/(1+Q$39)^4+((($J$62+(-$J$40-($L42*$J$38)))*(1-Hipotesis!$D$10))-(($J$67-$I$67)/Hipotesis!$D$40))/(1+Q$39)^5)+((((($J$62+(-$J$40-($L42*$J$38)))*(1-Hipotesis!$D$10))-(($J$67-$I$67)/Hipotesis!$D$40))*(1+Hipotesis!$D$15)/(Q$39-Hipotesis!$D$15))/(1+Q$39)^5)+(Hipotesis!$D$49+Hipotesis!$D$50-Hipotesis!$D$51+Hipotesis!$D$52+Hipotesis!$D$53-Hipotesis!$D$54))/Hipotesis!$D$46*1000</f>
        <v>66.298630267378</v>
      </c>
      <c r="R42" s="34" t="n">
        <f aca="false">(($F$75/(1+R$39)^1+$G$75/(1+R$39)^2+$H$75/(1+R$39)^3+$I$75/(1+R$39)^4+((($J$62+(-$J$40-($L42*$J$38)))*(1-Hipotesis!$D$10))-(($J$67-$I$67)/Hipotesis!$D$40))/(1+R$39)^5)+((((($J$62+(-$J$40-($L42*$J$38)))*(1-Hipotesis!$D$10))-(($J$67-$I$67)/Hipotesis!$D$40))*(1+Hipotesis!$D$15)/(R$39-Hipotesis!$D$15))/(1+R$39)^5)+(Hipotesis!$D$49+Hipotesis!$D$50-Hipotesis!$D$51+Hipotesis!$D$52+Hipotesis!$D$53-Hipotesis!$D$54))/Hipotesis!$D$46*1000</f>
        <v>61.6971178064846</v>
      </c>
    </row>
    <row r="43" customFormat="false" ht="15" hidden="false" customHeight="false" outlineLevel="0" collapsed="false">
      <c r="L43" s="73" t="n">
        <v>0.018</v>
      </c>
      <c r="M43" s="34" t="n">
        <f aca="false">(($F$75/(1+M$39)^1+$G$75/(1+M$39)^2+$H$75/(1+M$39)^3+$I$75/(1+M$39)^4+((($J$62+(-$J$40-($L43*$J$38)))*(1-Hipotesis!$D$10))-(($J$67-$I$67)/Hipotesis!$D$40))/(1+M$39)^5)+((((($J$62+(-$J$40-($L43*$J$38)))*(1-Hipotesis!$D$10))-(($J$67-$I$67)/Hipotesis!$D$40))*(1+Hipotesis!$D$15)/(M$39-Hipotesis!$D$15))/(1+M$39)^5)+(Hipotesis!$D$49+Hipotesis!$D$50-Hipotesis!$D$51+Hipotesis!$D$52+Hipotesis!$D$53-Hipotesis!$D$54))/Hipotesis!$D$46*1000</f>
        <v>91.8251976334103</v>
      </c>
      <c r="N43" s="34" t="n">
        <f aca="false">(($F$75/(1+N$39)^1+$G$75/(1+N$39)^2+$H$75/(1+N$39)^3+$I$75/(1+N$39)^4+((($J$62+(-$J$40-($L43*$J$38)))*(1-Hipotesis!$D$10))-(($J$67-$I$67)/Hipotesis!$D$40))/(1+N$39)^5)+((((($J$62+(-$J$40-($L43*$J$38)))*(1-Hipotesis!$D$10))-(($J$67-$I$67)/Hipotesis!$D$40))*(1+Hipotesis!$D$15)/(N$39-Hipotesis!$D$15))/(1+N$39)^5)+(Hipotesis!$D$49+Hipotesis!$D$50-Hipotesis!$D$51+Hipotesis!$D$52+Hipotesis!$D$53-Hipotesis!$D$54))/Hipotesis!$D$46*1000</f>
        <v>81.7941458249088</v>
      </c>
      <c r="O43" s="34" t="n">
        <f aca="false">(($F$75/(1+O$39)^1+$G$75/(1+O$39)^2+$H$75/(1+O$39)^3+$I$75/(1+O$39)^4+((($J$62+(-$J$40-($L43*$J$38)))*(1-Hipotesis!$D$10))-(($J$67-$I$67)/Hipotesis!$D$40))/(1+O$39)^5)+((((($J$62+(-$J$40-($L43*$J$38)))*(1-Hipotesis!$D$10))-(($J$67-$I$67)/Hipotesis!$D$40))*(1+Hipotesis!$D$15)/(O$39-Hipotesis!$D$15))/(1+O$39)^5)+(Hipotesis!$D$49+Hipotesis!$D$50-Hipotesis!$D$51+Hipotesis!$D$52+Hipotesis!$D$53-Hipotesis!$D$54))/Hipotesis!$D$46*1000</f>
        <v>74.7370069309682</v>
      </c>
      <c r="P43" s="34" t="n">
        <f aca="false">(($F$75/(1+P$39)^1+$G$75/(1+P$39)^2+$H$75/(1+P$39)^3+$I$75/(1+P$39)^4+((($J$62+(-$J$40-($L43*$J$38)))*(1-Hipotesis!$D$10))-(($J$67-$I$67)/Hipotesis!$D$40))/(1+P$39)^5)+((((($J$62+(-$J$40-($L43*$J$38)))*(1-Hipotesis!$D$10))-(($J$67-$I$67)/Hipotesis!$D$40))*(1+Hipotesis!$D$15)/(P$39-Hipotesis!$D$15))/(1+P$39)^5)+(Hipotesis!$D$49+Hipotesis!$D$50-Hipotesis!$D$51+Hipotesis!$D$52+Hipotesis!$D$53-Hipotesis!$D$54))/Hipotesis!$D$46*1000</f>
        <v>67.8516702543317</v>
      </c>
      <c r="Q43" s="34" t="n">
        <f aca="false">(($F$75/(1+Q$39)^1+$G$75/(1+Q$39)^2+$H$75/(1+Q$39)^3+$I$75/(1+Q$39)^4+((($J$62+(-$J$40-($L43*$J$38)))*(1-Hipotesis!$D$10))-(($J$67-$I$67)/Hipotesis!$D$40))/(1+Q$39)^5)+((((($J$62+(-$J$40-($L43*$J$38)))*(1-Hipotesis!$D$10))-(($J$67-$I$67)/Hipotesis!$D$40))*(1+Hipotesis!$D$15)/(Q$39-Hipotesis!$D$15))/(1+Q$39)^5)+(Hipotesis!$D$49+Hipotesis!$D$50-Hipotesis!$D$51+Hipotesis!$D$52+Hipotesis!$D$53-Hipotesis!$D$54))/Hipotesis!$D$46*1000</f>
        <v>62.0840102556016</v>
      </c>
      <c r="R43" s="34" t="n">
        <f aca="false">(($F$75/(1+R$39)^1+$G$75/(1+R$39)^2+$H$75/(1+R$39)^3+$I$75/(1+R$39)^4+((($J$62+(-$J$40-($L43*$J$38)))*(1-Hipotesis!$D$10))-(($J$67-$I$67)/Hipotesis!$D$40))/(1+R$39)^5)+((((($J$62+(-$J$40-($L43*$J$38)))*(1-Hipotesis!$D$10))-(($J$67-$I$67)/Hipotesis!$D$40))*(1+Hipotesis!$D$15)/(R$39-Hipotesis!$D$15))/(1+R$39)^5)+(Hipotesis!$D$49+Hipotesis!$D$50-Hipotesis!$D$51+Hipotesis!$D$52+Hipotesis!$D$53-Hipotesis!$D$54))/Hipotesis!$D$46*1000</f>
        <v>57.838367617322</v>
      </c>
    </row>
    <row r="44" customFormat="false" ht="15" hidden="false" customHeight="false" outlineLevel="0" collapsed="false">
      <c r="L44" s="73" t="n">
        <v>0.022</v>
      </c>
      <c r="M44" s="34" t="n">
        <f aca="false">(($F$75/(1+M$39)^1+$G$75/(1+M$39)^2+$H$75/(1+M$39)^3+$I$75/(1+M$39)^4+((($J$62+(-$J$40-($L44*$J$38)))*(1-Hipotesis!$D$10))-(($J$67-$I$67)/Hipotesis!$D$40))/(1+M$39)^5)+((((($J$62+(-$J$40-($L44*$J$38)))*(1-Hipotesis!$D$10))-(($J$67-$I$67)/Hipotesis!$D$40))*(1+Hipotesis!$D$15)/(M$39-Hipotesis!$D$15))/(1+M$39)^5)+(Hipotesis!$D$49+Hipotesis!$D$50-Hipotesis!$D$51+Hipotesis!$D$52+Hipotesis!$D$53-Hipotesis!$D$54))/Hipotesis!$D$46*1000</f>
        <v>85.082609631632</v>
      </c>
      <c r="N44" s="34" t="n">
        <f aca="false">(($F$75/(1+N$39)^1+$G$75/(1+N$39)^2+$H$75/(1+N$39)^3+$I$75/(1+N$39)^4+((($J$62+(-$J$40-($L44*$J$38)))*(1-Hipotesis!$D$10))-(($J$67-$I$67)/Hipotesis!$D$40))/(1+N$39)^5)+((((($J$62+(-$J$40-($L44*$J$38)))*(1-Hipotesis!$D$10))-(($J$67-$I$67)/Hipotesis!$D$40))*(1+Hipotesis!$D$15)/(N$39-Hipotesis!$D$15))/(1+N$39)^5)+(Hipotesis!$D$49+Hipotesis!$D$50-Hipotesis!$D$51+Hipotesis!$D$52+Hipotesis!$D$53-Hipotesis!$D$54))/Hipotesis!$D$46*1000</f>
        <v>75.9093490390023</v>
      </c>
      <c r="O44" s="34" t="n">
        <f aca="false">(($F$75/(1+O$39)^1+$G$75/(1+O$39)^2+$H$75/(1+O$39)^3+$I$75/(1+O$39)^4+((($J$62+(-$J$40-($L44*$J$38)))*(1-Hipotesis!$D$10))-(($J$67-$I$67)/Hipotesis!$D$40))/(1+O$39)^5)+((((($J$62+(-$J$40-($L44*$J$38)))*(1-Hipotesis!$D$10))-(($J$67-$I$67)/Hipotesis!$D$40))*(1+Hipotesis!$D$15)/(O$39-Hipotesis!$D$15))/(1+O$39)^5)+(Hipotesis!$D$49+Hipotesis!$D$50-Hipotesis!$D$51+Hipotesis!$D$52+Hipotesis!$D$53-Hipotesis!$D$54))/Hipotesis!$D$46*1000</f>
        <v>69.4529850668774</v>
      </c>
      <c r="P44" s="34" t="n">
        <f aca="false">(($F$75/(1+P$39)^1+$G$75/(1+P$39)^2+$H$75/(1+P$39)^3+$I$75/(1+P$39)^4+((($J$62+(-$J$40-($L44*$J$38)))*(1-Hipotesis!$D$10))-(($J$67-$I$67)/Hipotesis!$D$40))/(1+P$39)^5)+((((($J$62+(-$J$40-($L44*$J$38)))*(1-Hipotesis!$D$10))-(($J$67-$I$67)/Hipotesis!$D$40))*(1+Hipotesis!$D$15)/(P$39-Hipotesis!$D$15))/(1+P$39)^5)+(Hipotesis!$D$49+Hipotesis!$D$50-Hipotesis!$D$51+Hipotesis!$D$52+Hipotesis!$D$53-Hipotesis!$D$54))/Hipotesis!$D$46*1000</f>
        <v>63.1510222927116</v>
      </c>
      <c r="Q44" s="34" t="n">
        <f aca="false">(($F$75/(1+Q$39)^1+$G$75/(1+Q$39)^2+$H$75/(1+Q$39)^3+$I$75/(1+Q$39)^4+((($J$62+(-$J$40-($L44*$J$38)))*(1-Hipotesis!$D$10))-(($J$67-$I$67)/Hipotesis!$D$40))/(1+Q$39)^5)+((((($J$62+(-$J$40-($L44*$J$38)))*(1-Hipotesis!$D$10))-(($J$67-$I$67)/Hipotesis!$D$40))*(1+Hipotesis!$D$15)/(Q$39-Hipotesis!$D$15))/(1+Q$39)^5)+(Hipotesis!$D$49+Hipotesis!$D$50-Hipotesis!$D$51+Hipotesis!$D$52+Hipotesis!$D$53-Hipotesis!$D$54))/Hipotesis!$D$46*1000</f>
        <v>57.8693902438252</v>
      </c>
      <c r="R44" s="34" t="n">
        <f aca="false">(($F$75/(1+R$39)^1+$G$75/(1+R$39)^2+$H$75/(1+R$39)^3+$I$75/(1+R$39)^4+((($J$62+(-$J$40-($L44*$J$38)))*(1-Hipotesis!$D$10))-(($J$67-$I$67)/Hipotesis!$D$40))/(1+R$39)^5)+((((($J$62+(-$J$40-($L44*$J$38)))*(1-Hipotesis!$D$10))-(($J$67-$I$67)/Hipotesis!$D$40))*(1+Hipotesis!$D$15)/(R$39-Hipotesis!$D$15))/(1+R$39)^5)+(Hipotesis!$D$49+Hipotesis!$D$50-Hipotesis!$D$51+Hipotesis!$D$52+Hipotesis!$D$53-Hipotesis!$D$54))/Hipotesis!$D$46*1000</f>
        <v>53.9796174281593</v>
      </c>
    </row>
    <row r="45" customFormat="false" ht="15" hidden="false" customHeight="false" outlineLevel="0" collapsed="false">
      <c r="L45" s="73" t="n">
        <v>0.026</v>
      </c>
      <c r="M45" s="34" t="n">
        <f aca="false">(($F$75/(1+M$39)^1+$G$75/(1+M$39)^2+$H$75/(1+M$39)^3+$I$75/(1+M$39)^4+((($J$62+(-$J$40-($L45*$J$38)))*(1-Hipotesis!$D$10))-(($J$67-$I$67)/Hipotesis!$D$40))/(1+M$39)^5)+((((($J$62+(-$J$40-($L45*$J$38)))*(1-Hipotesis!$D$10))-(($J$67-$I$67)/Hipotesis!$D$40))*(1+Hipotesis!$D$15)/(M$39-Hipotesis!$D$15))/(1+M$39)^5)+(Hipotesis!$D$49+Hipotesis!$D$50-Hipotesis!$D$51+Hipotesis!$D$52+Hipotesis!$D$53-Hipotesis!$D$54))/Hipotesis!$D$46*1000</f>
        <v>78.3400216298537</v>
      </c>
      <c r="N45" s="34" t="n">
        <f aca="false">(($F$75/(1+N$39)^1+$G$75/(1+N$39)^2+$H$75/(1+N$39)^3+$I$75/(1+N$39)^4+((($J$62+(-$J$40-($L45*$J$38)))*(1-Hipotesis!$D$10))-(($J$67-$I$67)/Hipotesis!$D$40))/(1+N$39)^5)+((((($J$62+(-$J$40-($L45*$J$38)))*(1-Hipotesis!$D$10))-(($J$67-$I$67)/Hipotesis!$D$40))*(1+Hipotesis!$D$15)/(N$39-Hipotesis!$D$15))/(1+N$39)^5)+(Hipotesis!$D$49+Hipotesis!$D$50-Hipotesis!$D$51+Hipotesis!$D$52+Hipotesis!$D$53-Hipotesis!$D$54))/Hipotesis!$D$46*1000</f>
        <v>70.0245522530957</v>
      </c>
      <c r="O45" s="34" t="n">
        <f aca="false">(($F$75/(1+O$39)^1+$G$75/(1+O$39)^2+$H$75/(1+O$39)^3+$I$75/(1+O$39)^4+((($J$62+(-$J$40-($L45*$J$38)))*(1-Hipotesis!$D$10))-(($J$67-$I$67)/Hipotesis!$D$40))/(1+O$39)^5)+((((($J$62+(-$J$40-($L45*$J$38)))*(1-Hipotesis!$D$10))-(($J$67-$I$67)/Hipotesis!$D$40))*(1+Hipotesis!$D$15)/(O$39-Hipotesis!$D$15))/(1+O$39)^5)+(Hipotesis!$D$49+Hipotesis!$D$50-Hipotesis!$D$51+Hipotesis!$D$52+Hipotesis!$D$53-Hipotesis!$D$54))/Hipotesis!$D$46*1000</f>
        <v>64.1689632027866</v>
      </c>
      <c r="P45" s="34" t="n">
        <f aca="false">(($F$75/(1+P$39)^1+$G$75/(1+P$39)^2+$H$75/(1+P$39)^3+$I$75/(1+P$39)^4+((($J$62+(-$J$40-($L45*$J$38)))*(1-Hipotesis!$D$10))-(($J$67-$I$67)/Hipotesis!$D$40))/(1+P$39)^5)+((((($J$62+(-$J$40-($L45*$J$38)))*(1-Hipotesis!$D$10))-(($J$67-$I$67)/Hipotesis!$D$40))*(1+Hipotesis!$D$15)/(P$39-Hipotesis!$D$15))/(1+P$39)^5)+(Hipotesis!$D$49+Hipotesis!$D$50-Hipotesis!$D$51+Hipotesis!$D$52+Hipotesis!$D$53-Hipotesis!$D$54))/Hipotesis!$D$46*1000</f>
        <v>58.4503743310915</v>
      </c>
      <c r="Q45" s="34" t="n">
        <f aca="false">(($F$75/(1+Q$39)^1+$G$75/(1+Q$39)^2+$H$75/(1+Q$39)^3+$I$75/(1+Q$39)^4+((($J$62+(-$J$40-($L45*$J$38)))*(1-Hipotesis!$D$10))-(($J$67-$I$67)/Hipotesis!$D$40))/(1+Q$39)^5)+((((($J$62+(-$J$40-($L45*$J$38)))*(1-Hipotesis!$D$10))-(($J$67-$I$67)/Hipotesis!$D$40))*(1+Hipotesis!$D$15)/(Q$39-Hipotesis!$D$15))/(1+Q$39)^5)+(Hipotesis!$D$49+Hipotesis!$D$50-Hipotesis!$D$51+Hipotesis!$D$52+Hipotesis!$D$53-Hipotesis!$D$54))/Hipotesis!$D$46*1000</f>
        <v>53.6547702320488</v>
      </c>
      <c r="R45" s="34" t="n">
        <f aca="false">(($F$75/(1+R$39)^1+$G$75/(1+R$39)^2+$H$75/(1+R$39)^3+$I$75/(1+R$39)^4+((($J$62+(-$J$40-($L45*$J$38)))*(1-Hipotesis!$D$10))-(($J$67-$I$67)/Hipotesis!$D$40))/(1+R$39)^5)+((((($J$62+(-$J$40-($L45*$J$38)))*(1-Hipotesis!$D$10))-(($J$67-$I$67)/Hipotesis!$D$40))*(1+Hipotesis!$D$15)/(R$39-Hipotesis!$D$15))/(1+R$39)^5)+(Hipotesis!$D$49+Hipotesis!$D$50-Hipotesis!$D$51+Hipotesis!$D$52+Hipotesis!$D$53-Hipotesis!$D$54))/Hipotesis!$D$46*1000</f>
        <v>50.1208672389967</v>
      </c>
    </row>
    <row r="47" customFormat="false" ht="15" hidden="false" customHeight="false" outlineLevel="0" collapsed="false">
      <c r="L47" s="20" t="s">
        <v>302</v>
      </c>
      <c r="M47" s="20"/>
      <c r="N47" s="20"/>
      <c r="O47" s="20"/>
      <c r="P47" s="20"/>
      <c r="Q47" s="20"/>
      <c r="R47" s="20"/>
      <c r="S47" s="20"/>
    </row>
    <row r="49" customFormat="false" ht="18" hidden="false" customHeight="true" outlineLevel="0" collapsed="false">
      <c r="A49" s="9" t="s">
        <v>303</v>
      </c>
      <c r="B49" s="9"/>
      <c r="C49" s="9"/>
      <c r="D49" s="9"/>
      <c r="E49" s="9"/>
      <c r="F49" s="9"/>
      <c r="G49" s="9"/>
    </row>
    <row r="50" customFormat="false" ht="15" hidden="false" customHeight="false" outlineLevel="0" collapsed="false">
      <c r="B50" s="24" t="s">
        <v>304</v>
      </c>
      <c r="D50" s="21" t="n">
        <f aca="false">D15</f>
        <v>5819.952</v>
      </c>
      <c r="E50" s="21" t="n">
        <f aca="false">E15</f>
        <v>7150.47</v>
      </c>
      <c r="F50" s="21" t="n">
        <f aca="false">F15</f>
        <v>9125.7192</v>
      </c>
      <c r="G50" s="21" t="n">
        <f aca="false">G15</f>
        <v>11542.6308312</v>
      </c>
      <c r="H50" s="21" t="n">
        <f aca="false">H15</f>
        <v>13706.4500001</v>
      </c>
      <c r="I50" s="21" t="n">
        <f aca="false">I15</f>
        <v>15729.1002831917</v>
      </c>
      <c r="J50" s="21" t="n">
        <f aca="false">J15</f>
        <v>17404.4877830529</v>
      </c>
    </row>
    <row r="51" customFormat="false" ht="15" hidden="false" customHeight="false" outlineLevel="0" collapsed="false">
      <c r="B51" s="24" t="s">
        <v>305</v>
      </c>
      <c r="D51" s="21" t="n">
        <f aca="false">D26</f>
        <v>2515.335</v>
      </c>
      <c r="E51" s="21" t="n">
        <f aca="false">E26</f>
        <v>3570.336</v>
      </c>
      <c r="F51" s="21" t="n">
        <f aca="false">F26</f>
        <v>4107.143664</v>
      </c>
      <c r="G51" s="21" t="n">
        <f aca="false">G26</f>
        <v>5309.489186496</v>
      </c>
      <c r="H51" s="21" t="n">
        <f aca="false">H26</f>
        <v>6412.199061888</v>
      </c>
      <c r="I51" s="21" t="n">
        <f aca="false">I26</f>
        <v>7283.06516703744</v>
      </c>
      <c r="J51" s="21" t="n">
        <f aca="false">J26</f>
        <v>8118.96241916333</v>
      </c>
    </row>
    <row r="52" customFormat="false" ht="15" hidden="false" customHeight="false" outlineLevel="0" collapsed="false">
      <c r="B52" s="24" t="s">
        <v>306</v>
      </c>
      <c r="D52" s="21" t="n">
        <f aca="false">D35</f>
        <v>-110.817</v>
      </c>
      <c r="E52" s="21" t="n">
        <f aca="false">E35</f>
        <v>-30.846</v>
      </c>
      <c r="F52" s="21" t="n">
        <f aca="false">F35</f>
        <v>-80.97075</v>
      </c>
      <c r="G52" s="21" t="n">
        <f aca="false">G35</f>
        <v>0</v>
      </c>
      <c r="H52" s="21" t="n">
        <f aca="false">H35</f>
        <v>29.473353</v>
      </c>
      <c r="I52" s="21" t="n">
        <f aca="false">I35</f>
        <v>60.71510718</v>
      </c>
      <c r="J52" s="21" t="n">
        <f aca="false">J35</f>
        <v>93.8048405931</v>
      </c>
    </row>
    <row r="53" customFormat="false" ht="15" hidden="false" customHeight="false" outlineLevel="0" collapsed="false">
      <c r="B53" s="2" t="s">
        <v>307</v>
      </c>
      <c r="D53" s="75" t="n">
        <f aca="false">SUM(D50:D52)</f>
        <v>8224.47</v>
      </c>
      <c r="E53" s="75" t="n">
        <f aca="false">SUM(E50:E52)</f>
        <v>10689.96</v>
      </c>
      <c r="F53" s="75" t="n">
        <f aca="false">SUM(F50:F52)</f>
        <v>13151.892114</v>
      </c>
      <c r="G53" s="75" t="n">
        <f aca="false">SUM(G50:G52)</f>
        <v>16852.120017696</v>
      </c>
      <c r="H53" s="75" t="n">
        <f aca="false">SUM(H50:H52)</f>
        <v>20148.122414988</v>
      </c>
      <c r="I53" s="75" t="n">
        <f aca="false">SUM(I50:I52)</f>
        <v>23072.8805574091</v>
      </c>
      <c r="J53" s="75" t="n">
        <f aca="false">SUM(J50:J52)</f>
        <v>25617.2550428093</v>
      </c>
    </row>
    <row r="54" customFormat="false" ht="15" hidden="false" customHeight="false" outlineLevel="0" collapsed="false">
      <c r="B54" s="24" t="s">
        <v>308</v>
      </c>
      <c r="D54" s="21" t="n">
        <f aca="false">D40</f>
        <v>-3357.2088</v>
      </c>
      <c r="E54" s="21" t="n">
        <f aca="false">E40</f>
        <v>-3986.1412</v>
      </c>
      <c r="F54" s="21" t="n">
        <f aca="false">F40</f>
        <v>-4664.9706</v>
      </c>
      <c r="G54" s="21" t="n">
        <f aca="false">G40</f>
        <v>-4899.4486362</v>
      </c>
      <c r="H54" s="21" t="n">
        <f aca="false">H40</f>
        <v>-4933.991362176</v>
      </c>
      <c r="I54" s="21" t="n">
        <f aca="false">I40</f>
        <v>-5127.3611565444</v>
      </c>
      <c r="J54" s="21" t="n">
        <f aca="false">J40</f>
        <v>-5211.13534758805</v>
      </c>
    </row>
    <row r="55" customFormat="false" ht="15" hidden="false" customHeight="false" outlineLevel="0" collapsed="false">
      <c r="B55" s="24" t="s">
        <v>309</v>
      </c>
      <c r="D55" s="21" t="n">
        <f aca="false">D11+D23+D32</f>
        <v>44108</v>
      </c>
      <c r="E55" s="21" t="n">
        <f aca="false">E11+E23+E32</f>
        <v>52059</v>
      </c>
      <c r="F55" s="21" t="n">
        <f aca="false">F11+F23+F32</f>
        <v>57433.6596</v>
      </c>
      <c r="G55" s="21" t="n">
        <f aca="false">G11+G23+G32</f>
        <v>68211.1722312</v>
      </c>
      <c r="H55" s="21" t="n">
        <f aca="false">H11+H23+H32</f>
        <v>77892.5445912</v>
      </c>
      <c r="I55" s="21" t="n">
        <f aca="false">I11+I23+I32</f>
        <v>86840.292638448</v>
      </c>
      <c r="J55" s="21" t="n">
        <f aca="false">J11+J23+J32</f>
        <v>94291.6283328283</v>
      </c>
    </row>
    <row r="62" customFormat="false" ht="15" hidden="false" customHeight="false" outlineLevel="0" collapsed="false">
      <c r="B62" s="2" t="s">
        <v>310</v>
      </c>
      <c r="D62" s="69" t="n">
        <f aca="false">D53+D54</f>
        <v>4867.2612</v>
      </c>
      <c r="E62" s="69" t="n">
        <f aca="false">E53+E54</f>
        <v>6703.8188</v>
      </c>
      <c r="F62" s="69" t="n">
        <f aca="false">F53+F54</f>
        <v>8486.921514</v>
      </c>
      <c r="G62" s="69" t="n">
        <f aca="false">G53+G54</f>
        <v>11952.671381496</v>
      </c>
      <c r="H62" s="69" t="n">
        <f aca="false">H53+H54</f>
        <v>15214.131052812</v>
      </c>
      <c r="I62" s="69" t="n">
        <f aca="false">I53+I54</f>
        <v>17945.5194008647</v>
      </c>
      <c r="J62" s="69" t="n">
        <f aca="false">J53+J54</f>
        <v>20406.1196952212</v>
      </c>
    </row>
    <row r="63" customFormat="false" ht="15" hidden="false" customHeight="false" outlineLevel="0" collapsed="false">
      <c r="B63" s="24" t="s">
        <v>311</v>
      </c>
      <c r="D63" s="31" t="n">
        <f aca="false">D62/D55</f>
        <v>0.110348716786071</v>
      </c>
      <c r="E63" s="31" t="n">
        <f aca="false">E62/E55</f>
        <v>0.128773483931693</v>
      </c>
      <c r="F63" s="31" t="n">
        <f aca="false">F62/F55</f>
        <v>0.147769123073606</v>
      </c>
      <c r="G63" s="31" t="n">
        <f aca="false">G62/G55</f>
        <v>0.175230405672882</v>
      </c>
      <c r="H63" s="31" t="n">
        <f aca="false">H62/H55</f>
        <v>0.19532204439667</v>
      </c>
      <c r="I63" s="31" t="n">
        <f aca="false">I62/I55</f>
        <v>0.206649688245286</v>
      </c>
      <c r="J63" s="31" t="n">
        <f aca="false">J62/J55</f>
        <v>0.216414967649007</v>
      </c>
    </row>
    <row r="64" customFormat="false" ht="15" hidden="false" customHeight="false" outlineLevel="0" collapsed="false">
      <c r="B64" s="24" t="s">
        <v>312</v>
      </c>
      <c r="D64" s="53" t="n">
        <f aca="false">D62/D38</f>
        <v>0.0300107359542248</v>
      </c>
      <c r="E64" s="53" t="n">
        <f aca="false">E62/E38</f>
        <v>0.0346447003131751</v>
      </c>
      <c r="F64" s="53" t="n">
        <f aca="false">F62/F38</f>
        <v>0.0363857449133763</v>
      </c>
      <c r="G64" s="53" t="n">
        <f aca="false">G62/G38</f>
        <v>0.0439127136219549</v>
      </c>
      <c r="H64" s="53" t="n">
        <f aca="false">H62/H38</f>
        <v>0.0493365470217677</v>
      </c>
      <c r="I64" s="53" t="n">
        <f aca="false">I62/I38</f>
        <v>0.0524992842896184</v>
      </c>
      <c r="J64" s="53" t="n">
        <f aca="false">J62/J38</f>
        <v>0.0548221561478586</v>
      </c>
    </row>
    <row r="67" customFormat="false" ht="15" hidden="false" customHeight="false" outlineLevel="0" collapsed="false">
      <c r="B67" s="24" t="s">
        <v>313</v>
      </c>
      <c r="D67" s="21" t="n">
        <f aca="false">D55</f>
        <v>44108</v>
      </c>
      <c r="E67" s="21" t="n">
        <f aca="false">E55</f>
        <v>52059</v>
      </c>
      <c r="F67" s="21" t="n">
        <f aca="false">F55</f>
        <v>57433.6596</v>
      </c>
      <c r="G67" s="21" t="n">
        <f aca="false">G55</f>
        <v>68211.1722312</v>
      </c>
      <c r="H67" s="21" t="n">
        <f aca="false">H55</f>
        <v>77892.5445912</v>
      </c>
      <c r="I67" s="21" t="n">
        <f aca="false">I55</f>
        <v>86840.292638448</v>
      </c>
      <c r="J67" s="21" t="n">
        <f aca="false">J55</f>
        <v>94291.6283328283</v>
      </c>
    </row>
    <row r="70" customFormat="false" ht="15" hidden="false" customHeight="false" outlineLevel="0" collapsed="false">
      <c r="B70" s="24" t="s">
        <v>314</v>
      </c>
      <c r="D70" s="55" t="n">
        <v>0.014</v>
      </c>
      <c r="E70" s="55" t="n">
        <v>0.014</v>
      </c>
      <c r="F70" s="31" t="n">
        <f aca="false">$E$70</f>
        <v>0.014</v>
      </c>
      <c r="G70" s="31" t="n">
        <f aca="false">$E$70</f>
        <v>0.014</v>
      </c>
      <c r="H70" s="31" t="n">
        <f aca="false">$E$70</f>
        <v>0.014</v>
      </c>
      <c r="I70" s="31" t="n">
        <f aca="false">$E$70</f>
        <v>0.014</v>
      </c>
      <c r="J70" s="31" t="n">
        <f aca="false">$E$70</f>
        <v>0.014</v>
      </c>
    </row>
    <row r="71" customFormat="false" ht="15" hidden="false" customHeight="false" outlineLevel="0" collapsed="false">
      <c r="B71" s="24" t="s">
        <v>315</v>
      </c>
      <c r="D71" s="21" t="n">
        <f aca="false">D70*D55</f>
        <v>617.512</v>
      </c>
      <c r="E71" s="21" t="n">
        <f aca="false">E70*E55</f>
        <v>728.826</v>
      </c>
      <c r="F71" s="21" t="n">
        <f aca="false">F70*F55</f>
        <v>804.0712344</v>
      </c>
      <c r="G71" s="21" t="n">
        <f aca="false">G70*G55</f>
        <v>954.9564112368</v>
      </c>
      <c r="H71" s="21" t="n">
        <f aca="false">H70*H55</f>
        <v>1090.4956242768</v>
      </c>
      <c r="I71" s="21" t="n">
        <f aca="false">I70*I55</f>
        <v>1215.76409693827</v>
      </c>
      <c r="J71" s="21" t="n">
        <f aca="false">J70*J55</f>
        <v>1320.0827966596</v>
      </c>
    </row>
    <row r="72" customFormat="false" ht="15" hidden="false" customHeight="false" outlineLevel="0" collapsed="false">
      <c r="B72" s="2" t="s">
        <v>316</v>
      </c>
      <c r="D72" s="69" t="n">
        <f aca="false">D62+D71</f>
        <v>5484.7732</v>
      </c>
      <c r="E72" s="69" t="n">
        <f aca="false">E62+E71</f>
        <v>7432.6448</v>
      </c>
      <c r="F72" s="69" t="n">
        <f aca="false">F62+F71</f>
        <v>9290.9927484</v>
      </c>
      <c r="G72" s="69" t="n">
        <f aca="false">G62+G71</f>
        <v>12907.6277927328</v>
      </c>
      <c r="H72" s="69" t="n">
        <f aca="false">H62+H71</f>
        <v>16304.6266770888</v>
      </c>
      <c r="I72" s="69" t="n">
        <f aca="false">I62+I71</f>
        <v>19161.283497803</v>
      </c>
      <c r="J72" s="69" t="n">
        <f aca="false">J62+J71</f>
        <v>21726.2024918808</v>
      </c>
    </row>
    <row r="74" customFormat="false" ht="18" hidden="false" customHeight="true" outlineLevel="0" collapsed="false">
      <c r="A74" s="9" t="s">
        <v>317</v>
      </c>
      <c r="B74" s="9"/>
      <c r="C74" s="9"/>
      <c r="D74" s="9"/>
      <c r="E74" s="9"/>
      <c r="F74" s="9"/>
      <c r="G74" s="9"/>
      <c r="L74" s="9" t="s">
        <v>318</v>
      </c>
      <c r="M74" s="9"/>
      <c r="N74" s="9"/>
      <c r="O74" s="9"/>
      <c r="P74" s="9"/>
      <c r="Q74" s="9"/>
      <c r="R74" s="9"/>
    </row>
    <row r="75" customFormat="false" ht="15" hidden="false" customHeight="false" outlineLevel="0" collapsed="false">
      <c r="B75" s="2" t="s">
        <v>319</v>
      </c>
      <c r="F75" s="69" t="n">
        <f aca="false">F77+F79</f>
        <v>5544.86686092</v>
      </c>
      <c r="G75" s="69" t="n">
        <f aca="false">G77+G79</f>
        <v>7167.58115132688</v>
      </c>
      <c r="H75" s="69" t="n">
        <f aca="false">H77+H79</f>
        <v>9930.74774919336</v>
      </c>
      <c r="I75" s="69" t="n">
        <f aca="false">I77+I79</f>
        <v>12207.9555232249</v>
      </c>
      <c r="J75" s="69" t="n">
        <f aca="false">J77+J79</f>
        <v>14426.5062233965</v>
      </c>
      <c r="L75" s="35" t="s">
        <v>320</v>
      </c>
      <c r="M75" s="36"/>
      <c r="N75" s="36"/>
      <c r="O75" s="36"/>
      <c r="P75" s="36"/>
      <c r="Q75" s="36"/>
      <c r="R75" s="36"/>
    </row>
    <row r="76" customFormat="false" ht="15" hidden="false" customHeight="false" outlineLevel="0" collapsed="false">
      <c r="B76" s="24" t="s">
        <v>321</v>
      </c>
      <c r="D76" s="76" t="n">
        <f aca="false">0</f>
        <v>0</v>
      </c>
      <c r="E76" s="76" t="n">
        <f aca="false">0</f>
        <v>0</v>
      </c>
      <c r="F76" s="76" t="n">
        <f aca="false">1</f>
        <v>1</v>
      </c>
      <c r="G76" s="76" t="n">
        <f aca="false">2</f>
        <v>2</v>
      </c>
      <c r="H76" s="76" t="n">
        <f aca="false">3</f>
        <v>3</v>
      </c>
      <c r="I76" s="76" t="n">
        <f aca="false">4</f>
        <v>4</v>
      </c>
      <c r="J76" s="76" t="n">
        <f aca="false">5</f>
        <v>5</v>
      </c>
      <c r="M76" s="77" t="n">
        <v>3</v>
      </c>
      <c r="N76" s="77" t="n">
        <v>4</v>
      </c>
      <c r="O76" s="78" t="n">
        <v>5</v>
      </c>
      <c r="P76" s="77" t="n">
        <v>6</v>
      </c>
      <c r="Q76" s="77" t="n">
        <v>7</v>
      </c>
      <c r="R76" s="77" t="n">
        <v>8</v>
      </c>
    </row>
    <row r="77" customFormat="false" ht="15" hidden="false" customHeight="false" outlineLevel="0" collapsed="false">
      <c r="B77" s="24" t="s">
        <v>322</v>
      </c>
      <c r="D77" s="21" t="n">
        <f aca="false">D62*(1-Hipotesis!$D$10)</f>
        <v>3796.463736</v>
      </c>
      <c r="E77" s="21" t="n">
        <f aca="false">E62*(1-Hipotesis!$D$10)</f>
        <v>5228.978664</v>
      </c>
      <c r="F77" s="21" t="n">
        <f aca="false">F62*(1-Hipotesis!$D$10)</f>
        <v>6619.79878092</v>
      </c>
      <c r="G77" s="21" t="n">
        <f aca="false">G62*(1-Hipotesis!$D$10)</f>
        <v>9323.08367756688</v>
      </c>
      <c r="H77" s="21" t="n">
        <f aca="false">H62*(1-Hipotesis!$D$10)</f>
        <v>11867.0222211934</v>
      </c>
      <c r="I77" s="21" t="n">
        <f aca="false">I62*(1-Hipotesis!$D$10)</f>
        <v>13997.5051326745</v>
      </c>
      <c r="J77" s="21" t="n">
        <f aca="false">J62*(1-Hipotesis!$D$10)</f>
        <v>15916.7733622726</v>
      </c>
      <c r="L77" s="68" t="n">
        <v>0.27</v>
      </c>
      <c r="M77" s="34" t="n">
        <f aca="false">(($D$82-$J$81+(((((($J$7*$J$10)*$L77)+($J$62-$J$15))*(1-Hipotesis!$D$10))-(($J$55-$I$55)/M$76))/(1+Hipotesis!$D$14)^5))+((((((($J$7*$J$10)*$L77)+($J$62-$J$15))*(1-Hipotesis!$D$10))-(($J$55-$I$55)/M$76))*(1+Hipotesis!$D$15)/(Hipotesis!$D$14-Hipotesis!$D$15))/(1+Hipotesis!$D$14)^5)+(Hipotesis!$D$49+Hipotesis!$D$50-Hipotesis!$D$51+Hipotesis!$D$52+Hipotesis!$D$53-Hipotesis!$D$54))/Hipotesis!$D$46*1000</f>
        <v>58.1919556298812</v>
      </c>
      <c r="N77" s="34" t="n">
        <f aca="false">(($D$82-$J$81+(((((($J$7*$J$10)*$L77)+($J$62-$J$15))*(1-Hipotesis!$D$10))-(($J$55-$I$55)/N$76))/(1+Hipotesis!$D$14)^5))+((((((($J$7*$J$10)*$L77)+($J$62-$J$15))*(1-Hipotesis!$D$10))-(($J$55-$I$55)/N$76))*(1+Hipotesis!$D$15)/(Hipotesis!$D$14-Hipotesis!$D$15))/(1+Hipotesis!$D$14)^5)+(Hipotesis!$D$49+Hipotesis!$D$50-Hipotesis!$D$51+Hipotesis!$D$52+Hipotesis!$D$53-Hipotesis!$D$54))/Hipotesis!$D$46*1000</f>
        <v>60.7230634841319</v>
      </c>
      <c r="O77" s="34" t="n">
        <f aca="false">(($D$82-$J$81+(((((($J$7*$J$10)*$L77)+($J$62-$J$15))*(1-Hipotesis!$D$10))-(($J$55-$I$55)/O$76))/(1+Hipotesis!$D$14)^5))+((((((($J$7*$J$10)*$L77)+($J$62-$J$15))*(1-Hipotesis!$D$10))-(($J$55-$I$55)/O$76))*(1+Hipotesis!$D$15)/(Hipotesis!$D$14-Hipotesis!$D$15))/(1+Hipotesis!$D$14)^5)+(Hipotesis!$D$49+Hipotesis!$D$50-Hipotesis!$D$51+Hipotesis!$D$52+Hipotesis!$D$53-Hipotesis!$D$54))/Hipotesis!$D$46*1000</f>
        <v>62.2417281966823</v>
      </c>
      <c r="P77" s="34" t="n">
        <f aca="false">(($D$82-$J$81+(((((($J$7*$J$10)*$L77)+($J$62-$J$15))*(1-Hipotesis!$D$10))-(($J$55-$I$55)/P$76))/(1+Hipotesis!$D$14)^5))+((((((($J$7*$J$10)*$L77)+($J$62-$J$15))*(1-Hipotesis!$D$10))-(($J$55-$I$55)/P$76))*(1+Hipotesis!$D$15)/(Hipotesis!$D$14-Hipotesis!$D$15))/(1+Hipotesis!$D$14)^5)+(Hipotesis!$D$49+Hipotesis!$D$50-Hipotesis!$D$51+Hipotesis!$D$52+Hipotesis!$D$53-Hipotesis!$D$54))/Hipotesis!$D$46*1000</f>
        <v>63.2541713383826</v>
      </c>
      <c r="Q77" s="34" t="n">
        <f aca="false">(($D$82-$J$81+(((((($J$7*$J$10)*$L77)+($J$62-$J$15))*(1-Hipotesis!$D$10))-(($J$55-$I$55)/Q$76))/(1+Hipotesis!$D$14)^5))+((((((($J$7*$J$10)*$L77)+($J$62-$J$15))*(1-Hipotesis!$D$10))-(($J$55-$I$55)/Q$76))*(1+Hipotesis!$D$15)/(Hipotesis!$D$14-Hipotesis!$D$15))/(1+Hipotesis!$D$14)^5)+(Hipotesis!$D$49+Hipotesis!$D$50-Hipotesis!$D$51+Hipotesis!$D$52+Hipotesis!$D$53-Hipotesis!$D$54))/Hipotesis!$D$46*1000</f>
        <v>63.9773450110256</v>
      </c>
      <c r="R77" s="34" t="n">
        <f aca="false">(($D$82-$J$81+(((((($J$7*$J$10)*$L77)+($J$62-$J$15))*(1-Hipotesis!$D$10))-(($J$55-$I$55)/R$76))/(1+Hipotesis!$D$14)^5))+((((((($J$7*$J$10)*$L77)+($J$62-$J$15))*(1-Hipotesis!$D$10))-(($J$55-$I$55)/R$76))*(1+Hipotesis!$D$15)/(Hipotesis!$D$14-Hipotesis!$D$15))/(1+Hipotesis!$D$14)^5)+(Hipotesis!$D$49+Hipotesis!$D$50-Hipotesis!$D$51+Hipotesis!$D$52+Hipotesis!$D$53-Hipotesis!$D$54))/Hipotesis!$D$46*1000</f>
        <v>64.5197252655079</v>
      </c>
    </row>
    <row r="78" customFormat="false" ht="15" hidden="false" customHeight="false" outlineLevel="0" collapsed="false">
      <c r="B78" s="24" t="s">
        <v>323</v>
      </c>
      <c r="E78" s="21" t="n">
        <f aca="false">E55-D55</f>
        <v>7951</v>
      </c>
      <c r="F78" s="21" t="n">
        <f aca="false">F55-E55</f>
        <v>5374.6596</v>
      </c>
      <c r="G78" s="21" t="n">
        <f aca="false">G55-F55</f>
        <v>10777.5126312</v>
      </c>
      <c r="H78" s="21" t="n">
        <f aca="false">H55-G55</f>
        <v>9681.37235999999</v>
      </c>
      <c r="I78" s="21" t="n">
        <f aca="false">I55-H55</f>
        <v>8947.74804724801</v>
      </c>
      <c r="J78" s="21" t="n">
        <f aca="false">J55-I55</f>
        <v>7451.33569438032</v>
      </c>
      <c r="L78" s="68" t="n">
        <v>0.29</v>
      </c>
      <c r="M78" s="34" t="n">
        <f aca="false">(($D$82-$J$81+(((((($J$7*$J$10)*$L78)+($J$62-$J$15))*(1-Hipotesis!$D$10))-(($J$55-$I$55)/M$76))/(1+Hipotesis!$D$14)^5))+((((((($J$7*$J$10)*$L78)+($J$62-$J$15))*(1-Hipotesis!$D$10))-(($J$55-$I$55)/M$76))*(1+Hipotesis!$D$15)/(Hipotesis!$D$14-Hipotesis!$D$15))/(1+Hipotesis!$D$14)^5)+(Hipotesis!$D$49+Hipotesis!$D$50-Hipotesis!$D$51+Hipotesis!$D$52+Hipotesis!$D$53-Hipotesis!$D$54))/Hipotesis!$D$46*1000</f>
        <v>61.4956419560207</v>
      </c>
      <c r="N78" s="34" t="n">
        <f aca="false">(($D$82-$J$81+(((((($J$7*$J$10)*$L78)+($J$62-$J$15))*(1-Hipotesis!$D$10))-(($J$55-$I$55)/N$76))/(1+Hipotesis!$D$14)^5))+((((((($J$7*$J$10)*$L78)+($J$62-$J$15))*(1-Hipotesis!$D$10))-(($J$55-$I$55)/N$76))*(1+Hipotesis!$D$15)/(Hipotesis!$D$14-Hipotesis!$D$15))/(1+Hipotesis!$D$14)^5)+(Hipotesis!$D$49+Hipotesis!$D$50-Hipotesis!$D$51+Hipotesis!$D$52+Hipotesis!$D$53-Hipotesis!$D$54))/Hipotesis!$D$46*1000</f>
        <v>64.0267498102713</v>
      </c>
      <c r="O78" s="34" t="n">
        <f aca="false">(($D$82-$J$81+(((((($J$7*$J$10)*$L78)+($J$62-$J$15))*(1-Hipotesis!$D$10))-(($J$55-$I$55)/O$76))/(1+Hipotesis!$D$14)^5))+((((((($J$7*$J$10)*$L78)+($J$62-$J$15))*(1-Hipotesis!$D$10))-(($J$55-$I$55)/O$76))*(1+Hipotesis!$D$15)/(Hipotesis!$D$14-Hipotesis!$D$15))/(1+Hipotesis!$D$14)^5)+(Hipotesis!$D$49+Hipotesis!$D$50-Hipotesis!$D$51+Hipotesis!$D$52+Hipotesis!$D$53-Hipotesis!$D$54))/Hipotesis!$D$46*1000</f>
        <v>65.5454145228218</v>
      </c>
      <c r="P78" s="34" t="n">
        <f aca="false">(($D$82-$J$81+(((((($J$7*$J$10)*$L78)+($J$62-$J$15))*(1-Hipotesis!$D$10))-(($J$55-$I$55)/P$76))/(1+Hipotesis!$D$14)^5))+((((((($J$7*$J$10)*$L78)+($J$62-$J$15))*(1-Hipotesis!$D$10))-(($J$55-$I$55)/P$76))*(1+Hipotesis!$D$15)/(Hipotesis!$D$14-Hipotesis!$D$15))/(1+Hipotesis!$D$14)^5)+(Hipotesis!$D$49+Hipotesis!$D$50-Hipotesis!$D$51+Hipotesis!$D$52+Hipotesis!$D$53-Hipotesis!$D$54))/Hipotesis!$D$46*1000</f>
        <v>66.557857664522</v>
      </c>
      <c r="Q78" s="34" t="n">
        <f aca="false">(($D$82-$J$81+(((((($J$7*$J$10)*$L78)+($J$62-$J$15))*(1-Hipotesis!$D$10))-(($J$55-$I$55)/Q$76))/(1+Hipotesis!$D$14)^5))+((((((($J$7*$J$10)*$L78)+($J$62-$J$15))*(1-Hipotesis!$D$10))-(($J$55-$I$55)/Q$76))*(1+Hipotesis!$D$15)/(Hipotesis!$D$14-Hipotesis!$D$15))/(1+Hipotesis!$D$14)^5)+(Hipotesis!$D$49+Hipotesis!$D$50-Hipotesis!$D$51+Hipotesis!$D$52+Hipotesis!$D$53-Hipotesis!$D$54))/Hipotesis!$D$46*1000</f>
        <v>67.2810313371651</v>
      </c>
      <c r="R78" s="34" t="n">
        <f aca="false">(($D$82-$J$81+(((((($J$7*$J$10)*$L78)+($J$62-$J$15))*(1-Hipotesis!$D$10))-(($J$55-$I$55)/R$76))/(1+Hipotesis!$D$14)^5))+((((((($J$7*$J$10)*$L78)+($J$62-$J$15))*(1-Hipotesis!$D$10))-(($J$55-$I$55)/R$76))*(1+Hipotesis!$D$15)/(Hipotesis!$D$14-Hipotesis!$D$15))/(1+Hipotesis!$D$14)^5)+(Hipotesis!$D$49+Hipotesis!$D$50-Hipotesis!$D$51+Hipotesis!$D$52+Hipotesis!$D$53-Hipotesis!$D$54))/Hipotesis!$D$46*1000</f>
        <v>67.8234115916474</v>
      </c>
    </row>
    <row r="79" customFormat="false" ht="15" hidden="false" customHeight="false" outlineLevel="0" collapsed="false">
      <c r="B79" s="24" t="s">
        <v>324</v>
      </c>
      <c r="F79" s="21" t="n">
        <f aca="false">-F78/Hipotesis!$D$40</f>
        <v>-1074.93192</v>
      </c>
      <c r="G79" s="21" t="n">
        <f aca="false">-G78/Hipotesis!$D$40</f>
        <v>-2155.50252624</v>
      </c>
      <c r="H79" s="21" t="n">
        <f aca="false">-H78/Hipotesis!$D$40</f>
        <v>-1936.274472</v>
      </c>
      <c r="I79" s="21" t="n">
        <f aca="false">-I78/Hipotesis!$D$40</f>
        <v>-1789.5496094496</v>
      </c>
      <c r="J79" s="21" t="n">
        <f aca="false">-J78/Hipotesis!$D$40</f>
        <v>-1490.26713887606</v>
      </c>
      <c r="L79" s="68" t="n">
        <v>0.31</v>
      </c>
      <c r="M79" s="34" t="n">
        <f aca="false">(($D$82-$J$81+(((((($J$7*$J$10)*$L79)+($J$62-$J$15))*(1-Hipotesis!$D$10))-(($J$55-$I$55)/M$76))/(1+Hipotesis!$D$14)^5))+((((((($J$7*$J$10)*$L79)+($J$62-$J$15))*(1-Hipotesis!$D$10))-(($J$55-$I$55)/M$76))*(1+Hipotesis!$D$15)/(Hipotesis!$D$14-Hipotesis!$D$15))/(1+Hipotesis!$D$14)^5)+(Hipotesis!$D$49+Hipotesis!$D$50-Hipotesis!$D$51+Hipotesis!$D$52+Hipotesis!$D$53-Hipotesis!$D$54))/Hipotesis!$D$46*1000</f>
        <v>64.7993282821601</v>
      </c>
      <c r="N79" s="34" t="n">
        <f aca="false">(($D$82-$J$81+(((((($J$7*$J$10)*$L79)+($J$62-$J$15))*(1-Hipotesis!$D$10))-(($J$55-$I$55)/N$76))/(1+Hipotesis!$D$14)^5))+((((((($J$7*$J$10)*$L79)+($J$62-$J$15))*(1-Hipotesis!$D$10))-(($J$55-$I$55)/N$76))*(1+Hipotesis!$D$15)/(Hipotesis!$D$14-Hipotesis!$D$15))/(1+Hipotesis!$D$14)^5)+(Hipotesis!$D$49+Hipotesis!$D$50-Hipotesis!$D$51+Hipotesis!$D$52+Hipotesis!$D$53-Hipotesis!$D$54))/Hipotesis!$D$46*1000</f>
        <v>67.3304361364108</v>
      </c>
      <c r="O79" s="34" t="n">
        <f aca="false">(($D$82-$J$81+(((((($J$7*$J$10)*$L79)+($J$62-$J$15))*(1-Hipotesis!$D$10))-(($J$55-$I$55)/O$76))/(1+Hipotesis!$D$14)^5))+((((((($J$7*$J$10)*$L79)+($J$62-$J$15))*(1-Hipotesis!$D$10))-(($J$55-$I$55)/O$76))*(1+Hipotesis!$D$15)/(Hipotesis!$D$14-Hipotesis!$D$15))/(1+Hipotesis!$D$14)^5)+(Hipotesis!$D$49+Hipotesis!$D$50-Hipotesis!$D$51+Hipotesis!$D$52+Hipotesis!$D$53-Hipotesis!$D$54))/Hipotesis!$D$46*1000</f>
        <v>68.8491008489612</v>
      </c>
      <c r="P79" s="34" t="n">
        <f aca="false">(($D$82-$J$81+(((((($J$7*$J$10)*$L79)+($J$62-$J$15))*(1-Hipotesis!$D$10))-(($J$55-$I$55)/P$76))/(1+Hipotesis!$D$14)^5))+((((((($J$7*$J$10)*$L79)+($J$62-$J$15))*(1-Hipotesis!$D$10))-(($J$55-$I$55)/P$76))*(1+Hipotesis!$D$15)/(Hipotesis!$D$14-Hipotesis!$D$15))/(1+Hipotesis!$D$14)^5)+(Hipotesis!$D$49+Hipotesis!$D$50-Hipotesis!$D$51+Hipotesis!$D$52+Hipotesis!$D$53-Hipotesis!$D$54))/Hipotesis!$D$46*1000</f>
        <v>69.8615439906615</v>
      </c>
      <c r="Q79" s="34" t="n">
        <f aca="false">(($D$82-$J$81+(((((($J$7*$J$10)*$L79)+($J$62-$J$15))*(1-Hipotesis!$D$10))-(($J$55-$I$55)/Q$76))/(1+Hipotesis!$D$14)^5))+((((((($J$7*$J$10)*$L79)+($J$62-$J$15))*(1-Hipotesis!$D$10))-(($J$55-$I$55)/Q$76))*(1+Hipotesis!$D$15)/(Hipotesis!$D$14-Hipotesis!$D$15))/(1+Hipotesis!$D$14)^5)+(Hipotesis!$D$49+Hipotesis!$D$50-Hipotesis!$D$51+Hipotesis!$D$52+Hipotesis!$D$53-Hipotesis!$D$54))/Hipotesis!$D$46*1000</f>
        <v>70.5847176633046</v>
      </c>
      <c r="R79" s="34" t="n">
        <f aca="false">(($D$82-$J$81+(((((($J$7*$J$10)*$L79)+($J$62-$J$15))*(1-Hipotesis!$D$10))-(($J$55-$I$55)/R$76))/(1+Hipotesis!$D$14)^5))+((((((($J$7*$J$10)*$L79)+($J$62-$J$15))*(1-Hipotesis!$D$10))-(($J$55-$I$55)/R$76))*(1+Hipotesis!$D$15)/(Hipotesis!$D$14-Hipotesis!$D$15))/(1+Hipotesis!$D$14)^5)+(Hipotesis!$D$49+Hipotesis!$D$50-Hipotesis!$D$51+Hipotesis!$D$52+Hipotesis!$D$53-Hipotesis!$D$54))/Hipotesis!$D$46*1000</f>
        <v>71.1270979177869</v>
      </c>
    </row>
    <row r="80" customFormat="false" ht="15" hidden="false" customHeight="false" outlineLevel="0" collapsed="false">
      <c r="B80" s="24" t="s">
        <v>325</v>
      </c>
      <c r="F80" s="79" t="n">
        <f aca="false">1/(1+Hipotesis!$D$14)^F76</f>
        <v>0.905334593559088</v>
      </c>
      <c r="G80" s="79" t="n">
        <f aca="false">1/(1+Hipotesis!$D$14)^G76</f>
        <v>0.819630726294798</v>
      </c>
      <c r="H80" s="79" t="n">
        <f aca="false">1/(1+Hipotesis!$D$14)^H76</f>
        <v>0.742040050458641</v>
      </c>
      <c r="I80" s="79" t="n">
        <f aca="false">1/(1+Hipotesis!$D$14)^I76</f>
        <v>0.671794527486538</v>
      </c>
      <c r="J80" s="79" t="n">
        <f aca="false">1/(1+Hipotesis!$D$14)^J76</f>
        <v>0.608198825497244</v>
      </c>
      <c r="L80" s="70" t="n">
        <v>0.33</v>
      </c>
      <c r="M80" s="34" t="n">
        <f aca="false">(($D$82-$J$81+(((((($J$7*$J$10)*$L80)+($J$62-$J$15))*(1-Hipotesis!$D$10))-(($J$55-$I$55)/M$76))/(1+Hipotesis!$D$14)^5))+((((((($J$7*$J$10)*$L80)+($J$62-$J$15))*(1-Hipotesis!$D$10))-(($J$55-$I$55)/M$76))*(1+Hipotesis!$D$15)/(Hipotesis!$D$14-Hipotesis!$D$15))/(1+Hipotesis!$D$14)^5)+(Hipotesis!$D$49+Hipotesis!$D$50-Hipotesis!$D$51+Hipotesis!$D$52+Hipotesis!$D$53-Hipotesis!$D$54))/Hipotesis!$D$46*1000</f>
        <v>68.1030146082996</v>
      </c>
      <c r="N80" s="34" t="n">
        <f aca="false">(($D$82-$J$81+(((((($J$7*$J$10)*$L80)+($J$62-$J$15))*(1-Hipotesis!$D$10))-(($J$55-$I$55)/N$76))/(1+Hipotesis!$D$14)^5))+((((((($J$7*$J$10)*$L80)+($J$62-$J$15))*(1-Hipotesis!$D$10))-(($J$55-$I$55)/N$76))*(1+Hipotesis!$D$15)/(Hipotesis!$D$14-Hipotesis!$D$15))/(1+Hipotesis!$D$14)^5)+(Hipotesis!$D$49+Hipotesis!$D$50-Hipotesis!$D$51+Hipotesis!$D$52+Hipotesis!$D$53-Hipotesis!$D$54))/Hipotesis!$D$46*1000</f>
        <v>70.6341224625503</v>
      </c>
      <c r="O80" s="32" t="n">
        <f aca="false">(($D$82-$J$81+(((((($J$7*$J$10)*$L80)+($J$62-$J$15))*(1-Hipotesis!$D$10))-(($J$55-$I$55)/O$76))/(1+Hipotesis!$D$14)^5))+((((((($J$7*$J$10)*$L80)+($J$62-$J$15))*(1-Hipotesis!$D$10))-(($J$55-$I$55)/O$76))*(1+Hipotesis!$D$15)/(Hipotesis!$D$14-Hipotesis!$D$15))/(1+Hipotesis!$D$14)^5)+(Hipotesis!$D$49+Hipotesis!$D$50-Hipotesis!$D$51+Hipotesis!$D$52+Hipotesis!$D$53-Hipotesis!$D$54))/Hipotesis!$D$46*1000</f>
        <v>72.1527871751007</v>
      </c>
      <c r="P80" s="34" t="n">
        <f aca="false">(($D$82-$J$81+(((((($J$7*$J$10)*$L80)+($J$62-$J$15))*(1-Hipotesis!$D$10))-(($J$55-$I$55)/P$76))/(1+Hipotesis!$D$14)^5))+((((((($J$7*$J$10)*$L80)+($J$62-$J$15))*(1-Hipotesis!$D$10))-(($J$55-$I$55)/P$76))*(1+Hipotesis!$D$15)/(Hipotesis!$D$14-Hipotesis!$D$15))/(1+Hipotesis!$D$14)^5)+(Hipotesis!$D$49+Hipotesis!$D$50-Hipotesis!$D$51+Hipotesis!$D$52+Hipotesis!$D$53-Hipotesis!$D$54))/Hipotesis!$D$46*1000</f>
        <v>73.165230316801</v>
      </c>
      <c r="Q80" s="34" t="n">
        <f aca="false">(($D$82-$J$81+(((((($J$7*$J$10)*$L80)+($J$62-$J$15))*(1-Hipotesis!$D$10))-(($J$55-$I$55)/Q$76))/(1+Hipotesis!$D$14)^5))+((((((($J$7*$J$10)*$L80)+($J$62-$J$15))*(1-Hipotesis!$D$10))-(($J$55-$I$55)/Q$76))*(1+Hipotesis!$D$15)/(Hipotesis!$D$14-Hipotesis!$D$15))/(1+Hipotesis!$D$14)^5)+(Hipotesis!$D$49+Hipotesis!$D$50-Hipotesis!$D$51+Hipotesis!$D$52+Hipotesis!$D$53-Hipotesis!$D$54))/Hipotesis!$D$46*1000</f>
        <v>73.8884039894441</v>
      </c>
      <c r="R80" s="34" t="n">
        <f aca="false">(($D$82-$J$81+(((((($J$7*$J$10)*$L80)+($J$62-$J$15))*(1-Hipotesis!$D$10))-(($J$55-$I$55)/R$76))/(1+Hipotesis!$D$14)^5))+((((((($J$7*$J$10)*$L80)+($J$62-$J$15))*(1-Hipotesis!$D$10))-(($J$55-$I$55)/R$76))*(1+Hipotesis!$D$15)/(Hipotesis!$D$14-Hipotesis!$D$15))/(1+Hipotesis!$D$14)^5)+(Hipotesis!$D$49+Hipotesis!$D$50-Hipotesis!$D$51+Hipotesis!$D$52+Hipotesis!$D$53-Hipotesis!$D$54))/Hipotesis!$D$46*1000</f>
        <v>74.4307842439264</v>
      </c>
    </row>
    <row r="81" customFormat="false" ht="15" hidden="false" customHeight="false" outlineLevel="0" collapsed="false">
      <c r="B81" s="24" t="s">
        <v>326</v>
      </c>
      <c r="F81" s="21" t="n">
        <f aca="false">F75*F80</f>
        <v>5019.95978587026</v>
      </c>
      <c r="G81" s="21" t="n">
        <f aca="false">G75*G80</f>
        <v>5874.76974483895</v>
      </c>
      <c r="H81" s="21" t="n">
        <f aca="false">H75*H80</f>
        <v>7369.01256090347</v>
      </c>
      <c r="I81" s="21" t="n">
        <f aca="false">I75*I80</f>
        <v>8201.23771230153</v>
      </c>
      <c r="J81" s="21" t="n">
        <f aca="false">J75*J80</f>
        <v>8774.18414109844</v>
      </c>
      <c r="L81" s="68" t="n">
        <v>0.35</v>
      </c>
      <c r="M81" s="34" t="n">
        <f aca="false">(($D$82-$J$81+(((((($J$7*$J$10)*$L81)+($J$62-$J$15))*(1-Hipotesis!$D$10))-(($J$55-$I$55)/M$76))/(1+Hipotesis!$D$14)^5))+((((((($J$7*$J$10)*$L81)+($J$62-$J$15))*(1-Hipotesis!$D$10))-(($J$55-$I$55)/M$76))*(1+Hipotesis!$D$15)/(Hipotesis!$D$14-Hipotesis!$D$15))/(1+Hipotesis!$D$14)^5)+(Hipotesis!$D$49+Hipotesis!$D$50-Hipotesis!$D$51+Hipotesis!$D$52+Hipotesis!$D$53-Hipotesis!$D$54))/Hipotesis!$D$46*1000</f>
        <v>71.4067009344391</v>
      </c>
      <c r="N81" s="34" t="n">
        <f aca="false">(($D$82-$J$81+(((((($J$7*$J$10)*$L81)+($J$62-$J$15))*(1-Hipotesis!$D$10))-(($J$55-$I$55)/N$76))/(1+Hipotesis!$D$14)^5))+((((((($J$7*$J$10)*$L81)+($J$62-$J$15))*(1-Hipotesis!$D$10))-(($J$55-$I$55)/N$76))*(1+Hipotesis!$D$15)/(Hipotesis!$D$14-Hipotesis!$D$15))/(1+Hipotesis!$D$14)^5)+(Hipotesis!$D$49+Hipotesis!$D$50-Hipotesis!$D$51+Hipotesis!$D$52+Hipotesis!$D$53-Hipotesis!$D$54))/Hipotesis!$D$46*1000</f>
        <v>73.9378087886898</v>
      </c>
      <c r="O81" s="34" t="n">
        <f aca="false">(($D$82-$J$81+(((((($J$7*$J$10)*$L81)+($J$62-$J$15))*(1-Hipotesis!$D$10))-(($J$55-$I$55)/O$76))/(1+Hipotesis!$D$14)^5))+((((((($J$7*$J$10)*$L81)+($J$62-$J$15))*(1-Hipotesis!$D$10))-(($J$55-$I$55)/O$76))*(1+Hipotesis!$D$15)/(Hipotesis!$D$14-Hipotesis!$D$15))/(1+Hipotesis!$D$14)^5)+(Hipotesis!$D$49+Hipotesis!$D$50-Hipotesis!$D$51+Hipotesis!$D$52+Hipotesis!$D$53-Hipotesis!$D$54))/Hipotesis!$D$46*1000</f>
        <v>75.4564735012402</v>
      </c>
      <c r="P81" s="34" t="n">
        <f aca="false">(($D$82-$J$81+(((((($J$7*$J$10)*$L81)+($J$62-$J$15))*(1-Hipotesis!$D$10))-(($J$55-$I$55)/P$76))/(1+Hipotesis!$D$14)^5))+((((((($J$7*$J$10)*$L81)+($J$62-$J$15))*(1-Hipotesis!$D$10))-(($J$55-$I$55)/P$76))*(1+Hipotesis!$D$15)/(Hipotesis!$D$14-Hipotesis!$D$15))/(1+Hipotesis!$D$14)^5)+(Hipotesis!$D$49+Hipotesis!$D$50-Hipotesis!$D$51+Hipotesis!$D$52+Hipotesis!$D$53-Hipotesis!$D$54))/Hipotesis!$D$46*1000</f>
        <v>76.4689166429405</v>
      </c>
      <c r="Q81" s="34" t="n">
        <f aca="false">(($D$82-$J$81+(((((($J$7*$J$10)*$L81)+($J$62-$J$15))*(1-Hipotesis!$D$10))-(($J$55-$I$55)/Q$76))/(1+Hipotesis!$D$14)^5))+((((((($J$7*$J$10)*$L81)+($J$62-$J$15))*(1-Hipotesis!$D$10))-(($J$55-$I$55)/Q$76))*(1+Hipotesis!$D$15)/(Hipotesis!$D$14-Hipotesis!$D$15))/(1+Hipotesis!$D$14)^5)+(Hipotesis!$D$49+Hipotesis!$D$50-Hipotesis!$D$51+Hipotesis!$D$52+Hipotesis!$D$53-Hipotesis!$D$54))/Hipotesis!$D$46*1000</f>
        <v>77.1920903155836</v>
      </c>
      <c r="R81" s="34" t="n">
        <f aca="false">(($D$82-$J$81+(((((($J$7*$J$10)*$L81)+($J$62-$J$15))*(1-Hipotesis!$D$10))-(($J$55-$I$55)/R$76))/(1+Hipotesis!$D$14)^5))+((((((($J$7*$J$10)*$L81)+($J$62-$J$15))*(1-Hipotesis!$D$10))-(($J$55-$I$55)/R$76))*(1+Hipotesis!$D$15)/(Hipotesis!$D$14-Hipotesis!$D$15))/(1+Hipotesis!$D$14)^5)+(Hipotesis!$D$49+Hipotesis!$D$50-Hipotesis!$D$51+Hipotesis!$D$52+Hipotesis!$D$53-Hipotesis!$D$54))/Hipotesis!$D$46*1000</f>
        <v>77.7344705700659</v>
      </c>
    </row>
    <row r="82" customFormat="false" ht="15" hidden="false" customHeight="false" outlineLevel="0" collapsed="false">
      <c r="B82" s="2" t="s">
        <v>327</v>
      </c>
      <c r="D82" s="69" t="n">
        <f aca="false">SUM(F81:J81)</f>
        <v>35239.1639450127</v>
      </c>
      <c r="L82" s="68" t="n">
        <v>0.37</v>
      </c>
      <c r="M82" s="34" t="n">
        <f aca="false">(($D$82-$J$81+(((((($J$7*$J$10)*$L82)+($J$62-$J$15))*(1-Hipotesis!$D$10))-(($J$55-$I$55)/M$76))/(1+Hipotesis!$D$14)^5))+((((((($J$7*$J$10)*$L82)+($J$62-$J$15))*(1-Hipotesis!$D$10))-(($J$55-$I$55)/M$76))*(1+Hipotesis!$D$15)/(Hipotesis!$D$14-Hipotesis!$D$15))/(1+Hipotesis!$D$14)^5)+(Hipotesis!$D$49+Hipotesis!$D$50-Hipotesis!$D$51+Hipotesis!$D$52+Hipotesis!$D$53-Hipotesis!$D$54))/Hipotesis!$D$46*1000</f>
        <v>74.7103872605786</v>
      </c>
      <c r="N82" s="34" t="n">
        <f aca="false">(($D$82-$J$81+(((((($J$7*$J$10)*$L82)+($J$62-$J$15))*(1-Hipotesis!$D$10))-(($J$55-$I$55)/N$76))/(1+Hipotesis!$D$14)^5))+((((((($J$7*$J$10)*$L82)+($J$62-$J$15))*(1-Hipotesis!$D$10))-(($J$55-$I$55)/N$76))*(1+Hipotesis!$D$15)/(Hipotesis!$D$14-Hipotesis!$D$15))/(1+Hipotesis!$D$14)^5)+(Hipotesis!$D$49+Hipotesis!$D$50-Hipotesis!$D$51+Hipotesis!$D$52+Hipotesis!$D$53-Hipotesis!$D$54))/Hipotesis!$D$46*1000</f>
        <v>77.2414951148293</v>
      </c>
      <c r="O82" s="34" t="n">
        <f aca="false">(($D$82-$J$81+(((((($J$7*$J$10)*$L82)+($J$62-$J$15))*(1-Hipotesis!$D$10))-(($J$55-$I$55)/O$76))/(1+Hipotesis!$D$14)^5))+((((((($J$7*$J$10)*$L82)+($J$62-$J$15))*(1-Hipotesis!$D$10))-(($J$55-$I$55)/O$76))*(1+Hipotesis!$D$15)/(Hipotesis!$D$14-Hipotesis!$D$15))/(1+Hipotesis!$D$14)^5)+(Hipotesis!$D$49+Hipotesis!$D$50-Hipotesis!$D$51+Hipotesis!$D$52+Hipotesis!$D$53-Hipotesis!$D$54))/Hipotesis!$D$46*1000</f>
        <v>78.7601598273797</v>
      </c>
      <c r="P82" s="34" t="n">
        <f aca="false">(($D$82-$J$81+(((((($J$7*$J$10)*$L82)+($J$62-$J$15))*(1-Hipotesis!$D$10))-(($J$55-$I$55)/P$76))/(1+Hipotesis!$D$14)^5))+((((((($J$7*$J$10)*$L82)+($J$62-$J$15))*(1-Hipotesis!$D$10))-(($J$55-$I$55)/P$76))*(1+Hipotesis!$D$15)/(Hipotesis!$D$14-Hipotesis!$D$15))/(1+Hipotesis!$D$14)^5)+(Hipotesis!$D$49+Hipotesis!$D$50-Hipotesis!$D$51+Hipotesis!$D$52+Hipotesis!$D$53-Hipotesis!$D$54))/Hipotesis!$D$46*1000</f>
        <v>79.77260296908</v>
      </c>
      <c r="Q82" s="34" t="n">
        <f aca="false">(($D$82-$J$81+(((((($J$7*$J$10)*$L82)+($J$62-$J$15))*(1-Hipotesis!$D$10))-(($J$55-$I$55)/Q$76))/(1+Hipotesis!$D$14)^5))+((((((($J$7*$J$10)*$L82)+($J$62-$J$15))*(1-Hipotesis!$D$10))-(($J$55-$I$55)/Q$76))*(1+Hipotesis!$D$15)/(Hipotesis!$D$14-Hipotesis!$D$15))/(1+Hipotesis!$D$14)^5)+(Hipotesis!$D$49+Hipotesis!$D$50-Hipotesis!$D$51+Hipotesis!$D$52+Hipotesis!$D$53-Hipotesis!$D$54))/Hipotesis!$D$46*1000</f>
        <v>80.4957766417231</v>
      </c>
      <c r="R82" s="34" t="n">
        <f aca="false">(($D$82-$J$81+(((((($J$7*$J$10)*$L82)+($J$62-$J$15))*(1-Hipotesis!$D$10))-(($J$55-$I$55)/R$76))/(1+Hipotesis!$D$14)^5))+((((((($J$7*$J$10)*$L82)+($J$62-$J$15))*(1-Hipotesis!$D$10))-(($J$55-$I$55)/R$76))*(1+Hipotesis!$D$15)/(Hipotesis!$D$14-Hipotesis!$D$15))/(1+Hipotesis!$D$14)^5)+(Hipotesis!$D$49+Hipotesis!$D$50-Hipotesis!$D$51+Hipotesis!$D$52+Hipotesis!$D$53-Hipotesis!$D$54))/Hipotesis!$D$46*1000</f>
        <v>81.0381568962054</v>
      </c>
    </row>
    <row r="84" customFormat="false" ht="15" hidden="false" customHeight="false" outlineLevel="0" collapsed="false">
      <c r="L84" s="20" t="s">
        <v>328</v>
      </c>
      <c r="M84" s="20"/>
      <c r="N84" s="20"/>
      <c r="O84" s="20"/>
      <c r="P84" s="20"/>
      <c r="Q84" s="20"/>
      <c r="R84" s="20"/>
      <c r="S84" s="20"/>
    </row>
    <row r="86" customFormat="false" ht="18" hidden="false" customHeight="true" outlineLevel="0" collapsed="false">
      <c r="A86" s="9" t="s">
        <v>329</v>
      </c>
      <c r="B86" s="9"/>
      <c r="C86" s="9"/>
      <c r="D86" s="9"/>
      <c r="E86" s="9"/>
      <c r="F86" s="9"/>
      <c r="G86" s="9"/>
      <c r="L86" s="9" t="s">
        <v>330</v>
      </c>
      <c r="M86" s="9"/>
      <c r="N86" s="9"/>
      <c r="O86" s="9"/>
      <c r="P86" s="9"/>
      <c r="Q86" s="9"/>
      <c r="R86" s="9"/>
    </row>
    <row r="87" customFormat="false" ht="15" hidden="false" customHeight="false" outlineLevel="0" collapsed="false">
      <c r="B87" s="2" t="s">
        <v>331</v>
      </c>
      <c r="L87" s="35" t="s">
        <v>332</v>
      </c>
      <c r="M87" s="36"/>
      <c r="N87" s="36"/>
      <c r="O87" s="36"/>
      <c r="P87" s="36"/>
      <c r="Q87" s="36"/>
      <c r="R87" s="36"/>
    </row>
    <row r="88" customFormat="false" ht="15" hidden="false" customHeight="false" outlineLevel="0" collapsed="false">
      <c r="B88" s="24" t="s">
        <v>333</v>
      </c>
      <c r="D88" s="40" t="n">
        <f aca="false">Hipotesis!D14</f>
        <v>0.104564</v>
      </c>
      <c r="M88" s="71" t="n">
        <v>0.085</v>
      </c>
      <c r="N88" s="71" t="n">
        <v>0.092</v>
      </c>
      <c r="O88" s="71" t="n">
        <v>0.098</v>
      </c>
      <c r="P88" s="72" t="n">
        <v>0.105</v>
      </c>
      <c r="Q88" s="71" t="n">
        <v>0.112</v>
      </c>
      <c r="R88" s="71" t="n">
        <v>0.118</v>
      </c>
    </row>
    <row r="89" customFormat="false" ht="15" hidden="false" customHeight="false" outlineLevel="0" collapsed="false">
      <c r="B89" s="24" t="s">
        <v>334</v>
      </c>
      <c r="D89" s="40" t="n">
        <f aca="false">Hipotesis!D15</f>
        <v>0.025</v>
      </c>
      <c r="L89" s="73" t="n">
        <v>0.01</v>
      </c>
      <c r="M89" s="34" t="n">
        <f aca="false">(($F$75/(1+M$88)^1+$G$75/(1+M$88)^2+$H$75/(1+M$88)^3+$I$75/(1+M$88)^4+$J$75/(1+M$88)^5)+(($J$75*(1+$L89)/(M$88-$L89))/(1+M$88)^5)+(Hipotesis!$D$49+Hipotesis!$D$50-Hipotesis!$D$51+Hipotesis!$D$52+Hipotesis!$D$53-Hipotesis!$D$54))/Hipotesis!$D$46*1000</f>
        <v>81.8160860886287</v>
      </c>
      <c r="N89" s="34" t="n">
        <f aca="false">(($F$75/(1+N$88)^1+$G$75/(1+N$88)^2+$H$75/(1+N$88)^3+$I$75/(1+N$88)^4+$J$75/(1+N$88)^5)+(($J$75*(1+$L89)/(N$88-$L89))/(1+N$88)^5)+(Hipotesis!$D$49+Hipotesis!$D$50-Hipotesis!$D$51+Hipotesis!$D$52+Hipotesis!$D$53-Hipotesis!$D$54))/Hipotesis!$D$46*1000</f>
        <v>74.3064879843152</v>
      </c>
      <c r="O89" s="34" t="n">
        <f aca="false">(($F$75/(1+O$88)^1+$G$75/(1+O$88)^2+$H$75/(1+O$88)^3+$I$75/(1+O$88)^4+$J$75/(1+O$88)^5)+(($J$75*(1+$L89)/(O$88-$L89))/(1+O$88)^5)+(Hipotesis!$D$49+Hipotesis!$D$50-Hipotesis!$D$51+Hipotesis!$D$52+Hipotesis!$D$53-Hipotesis!$D$54))/Hipotesis!$D$46*1000</f>
        <v>68.8324364978213</v>
      </c>
      <c r="P89" s="34" t="n">
        <f aca="false">(($F$75/(1+P$88)^1+$G$75/(1+P$88)^2+$H$75/(1+P$88)^3+$I$75/(1+P$88)^4+$J$75/(1+P$88)^5)+(($J$75*(1+$L89)/(P$88-$L89))/(1+P$88)^5)+(Hipotesis!$D$49+Hipotesis!$D$50-Hipotesis!$D$51+Hipotesis!$D$52+Hipotesis!$D$53-Hipotesis!$D$54))/Hipotesis!$D$46*1000</f>
        <v>63.3323879318296</v>
      </c>
      <c r="Q89" s="34" t="n">
        <f aca="false">(($F$75/(1+Q$88)^1+$G$75/(1+Q$88)^2+$H$75/(1+Q$88)^3+$I$75/(1+Q$88)^4+$J$75/(1+Q$88)^5)+(($J$75*(1+$L89)/(Q$88-$L89))/(1+Q$88)^5)+(Hipotesis!$D$49+Hipotesis!$D$50-Hipotesis!$D$51+Hipotesis!$D$52+Hipotesis!$D$53-Hipotesis!$D$54))/Hipotesis!$D$46*1000</f>
        <v>58.5993209402132</v>
      </c>
      <c r="R89" s="34" t="n">
        <f aca="false">(($F$75/(1+R$88)^1+$G$75/(1+R$88)^2+$H$75/(1+R$88)^3+$I$75/(1+R$88)^4+$J$75/(1+R$88)^5)+(($J$75*(1+$L89)/(R$88-$L89))/(1+R$88)^5)+(Hipotesis!$D$49+Hipotesis!$D$50-Hipotesis!$D$51+Hipotesis!$D$52+Hipotesis!$D$53-Hipotesis!$D$54))/Hipotesis!$D$46*1000</f>
        <v>55.0395373540848</v>
      </c>
    </row>
    <row r="90" customFormat="false" ht="15" hidden="false" customHeight="false" outlineLevel="0" collapsed="false">
      <c r="B90" s="24" t="s">
        <v>335</v>
      </c>
      <c r="D90" s="21" t="n">
        <f aca="false">J75</f>
        <v>14426.5062233965</v>
      </c>
      <c r="L90" s="73" t="n">
        <v>0.015</v>
      </c>
      <c r="M90" s="34" t="n">
        <f aca="false">(($F$75/(1+M$88)^1+$G$75/(1+M$88)^2+$H$75/(1+M$88)^3+$I$75/(1+M$88)^4+$J$75/(1+M$88)^5)+(($J$75*(1+$L90)/(M$88-$L90))/(1+M$88)^5)+(Hipotesis!$D$49+Hipotesis!$D$50-Hipotesis!$D$51+Hipotesis!$D$52+Hipotesis!$D$53-Hipotesis!$D$54))/Hipotesis!$D$46*1000</f>
        <v>86.6022859590744</v>
      </c>
      <c r="N90" s="34" t="n">
        <f aca="false">(($F$75/(1+N$88)^1+$G$75/(1+N$88)^2+$H$75/(1+N$88)^3+$I$75/(1+N$88)^4+$J$75/(1+N$88)^5)+(($J$75*(1+$L90)/(N$88-$L90))/(1+N$88)^5)+(Hipotesis!$D$49+Hipotesis!$D$50-Hipotesis!$D$51+Hipotesis!$D$52+Hipotesis!$D$53-Hipotesis!$D$54))/Hipotesis!$D$46*1000</f>
        <v>78.18507872014</v>
      </c>
      <c r="O90" s="34" t="n">
        <f aca="false">(($F$75/(1+O$88)^1+$G$75/(1+O$88)^2+$H$75/(1+O$88)^3+$I$75/(1+O$88)^4+$J$75/(1+O$88)^5)+(($J$75*(1+$L90)/(O$88-$L90))/(1+O$88)^5)+(Hipotesis!$D$49+Hipotesis!$D$50-Hipotesis!$D$51+Hipotesis!$D$52+Hipotesis!$D$53-Hipotesis!$D$54))/Hipotesis!$D$46*1000</f>
        <v>72.1126262074532</v>
      </c>
      <c r="P90" s="34" t="n">
        <f aca="false">(($F$75/(1+P$88)^1+$G$75/(1+P$88)^2+$H$75/(1+P$88)^3+$I$75/(1+P$88)^4+$J$75/(1+P$88)^5)+(($J$75*(1+$L90)/(P$88-$L90))/(1+P$88)^5)+(Hipotesis!$D$49+Hipotesis!$D$50-Hipotesis!$D$51+Hipotesis!$D$52+Hipotesis!$D$53-Hipotesis!$D$54))/Hipotesis!$D$46*1000</f>
        <v>66.0642191271251</v>
      </c>
      <c r="Q90" s="34" t="n">
        <f aca="false">(($F$75/(1+Q$88)^1+$G$75/(1+Q$88)^2+$H$75/(1+Q$88)^3+$I$75/(1+Q$88)^4+$J$75/(1+Q$88)^5)+(($J$75*(1+$L90)/(Q$88-$L90))/(1+Q$88)^5)+(Hipotesis!$D$49+Hipotesis!$D$50-Hipotesis!$D$51+Hipotesis!$D$52+Hipotesis!$D$53-Hipotesis!$D$54))/Hipotesis!$D$46*1000</f>
        <v>60.9011763060666</v>
      </c>
      <c r="R90" s="34" t="n">
        <f aca="false">(($F$75/(1+R$88)^1+$G$75/(1+R$88)^2+$H$75/(1+R$88)^3+$I$75/(1+R$88)^4+$J$75/(1+R$88)^5)+(($J$75*(1+$L90)/(R$88-$L90))/(1+R$88)^5)+(Hipotesis!$D$49+Hipotesis!$D$50-Hipotesis!$D$51+Hipotesis!$D$52+Hipotesis!$D$53-Hipotesis!$D$54))/Hipotesis!$D$46*1000</f>
        <v>57.0432751601469</v>
      </c>
    </row>
    <row r="91" customFormat="false" ht="15" hidden="false" customHeight="false" outlineLevel="0" collapsed="false">
      <c r="B91" s="24" t="s">
        <v>336</v>
      </c>
      <c r="D91" s="21" t="n">
        <f aca="false">J62</f>
        <v>20406.1196952212</v>
      </c>
      <c r="L91" s="73" t="n">
        <v>0.02</v>
      </c>
      <c r="M91" s="34" t="n">
        <f aca="false">(($F$75/(1+M$88)^1+$G$75/(1+M$88)^2+$H$75/(1+M$88)^3+$I$75/(1+M$88)^4+$J$75/(1+M$88)^5)+(($J$75*(1+$L91)/(M$88-$L91))/(1+M$88)^5)+(Hipotesis!$D$49+Hipotesis!$D$50-Hipotesis!$D$51+Hipotesis!$D$52+Hipotesis!$D$53-Hipotesis!$D$54))/Hipotesis!$D$46*1000</f>
        <v>92.1248242711272</v>
      </c>
      <c r="N91" s="34" t="n">
        <f aca="false">(($F$75/(1+N$88)^1+$G$75/(1+N$88)^2+$H$75/(1+N$88)^3+$I$75/(1+N$88)^4+$J$75/(1+N$88)^5)+(($J$75*(1+$L91)/(N$88-$L91))/(1+N$88)^5)+(Hipotesis!$D$49+Hipotesis!$D$50-Hipotesis!$D$51+Hipotesis!$D$52+Hipotesis!$D$53-Hipotesis!$D$54))/Hipotesis!$D$46*1000</f>
        <v>82.6023626137181</v>
      </c>
      <c r="O91" s="34" t="n">
        <f aca="false">(($F$75/(1+O$88)^1+$G$75/(1+O$88)^2+$H$75/(1+O$88)^3+$I$75/(1+O$88)^4+$J$75/(1+O$88)^5)+(($J$75*(1+$L91)/(O$88-$L91))/(1+O$88)^5)+(Hipotesis!$D$49+Hipotesis!$D$50-Hipotesis!$D$51+Hipotesis!$D$52+Hipotesis!$D$53-Hipotesis!$D$54))/Hipotesis!$D$46*1000</f>
        <v>75.8133530593457</v>
      </c>
      <c r="P91" s="34" t="n">
        <f aca="false">(($F$75/(1+P$88)^1+$G$75/(1+P$88)^2+$H$75/(1+P$88)^3+$I$75/(1+P$88)^4+$J$75/(1+P$88)^5)+(($J$75*(1+$L91)/(P$88-$L91))/(1+P$88)^5)+(Hipotesis!$D$49+Hipotesis!$D$50-Hipotesis!$D$51+Hipotesis!$D$52+Hipotesis!$D$53-Hipotesis!$D$54))/Hipotesis!$D$46*1000</f>
        <v>69.1174422277494</v>
      </c>
      <c r="Q91" s="34" t="n">
        <f aca="false">(($F$75/(1+Q$88)^1+$G$75/(1+Q$88)^2+$H$75/(1+Q$88)^3+$I$75/(1+Q$88)^4+$J$75/(1+Q$88)^5)+(($J$75*(1+$L91)/(Q$88-$L91))/(1+Q$88)^5)+(Hipotesis!$D$49+Hipotesis!$D$50-Hipotesis!$D$51+Hipotesis!$D$52+Hipotesis!$D$53-Hipotesis!$D$54))/Hipotesis!$D$46*1000</f>
        <v>63.4532333421215</v>
      </c>
      <c r="R91" s="34" t="n">
        <f aca="false">(($F$75/(1+R$88)^1+$G$75/(1+R$88)^2+$H$75/(1+R$88)^3+$I$75/(1+R$88)^4+$J$75/(1+R$88)^5)+(($J$75*(1+$L91)/(R$88-$L91))/(1+R$88)^5)+(Hipotesis!$D$49+Hipotesis!$D$50-Hipotesis!$D$51+Hipotesis!$D$52+Hipotesis!$D$53-Hipotesis!$D$54))/Hipotesis!$D$46*1000</f>
        <v>59.2514760076439</v>
      </c>
    </row>
    <row r="92" customFormat="false" ht="15" hidden="false" customHeight="false" outlineLevel="0" collapsed="false">
      <c r="B92" s="24" t="s">
        <v>337</v>
      </c>
      <c r="D92" s="21" t="n">
        <f aca="false">J72</f>
        <v>21726.2024918808</v>
      </c>
      <c r="L92" s="74" t="n">
        <v>0.025</v>
      </c>
      <c r="M92" s="34" t="n">
        <f aca="false">(($F$75/(1+M$88)^1+$G$75/(1+M$88)^2+$H$75/(1+M$88)^3+$I$75/(1+M$88)^4+$J$75/(1+M$88)^5)+(($J$75*(1+$L92)/(M$88-$L92))/(1+M$88)^5)+(Hipotesis!$D$49+Hipotesis!$D$50-Hipotesis!$D$51+Hipotesis!$D$52+Hipotesis!$D$53-Hipotesis!$D$54))/Hipotesis!$D$46*1000</f>
        <v>98.5677856351887</v>
      </c>
      <c r="N92" s="34" t="n">
        <f aca="false">(($F$75/(1+N$88)^1+$G$75/(1+N$88)^2+$H$75/(1+N$88)^3+$I$75/(1+N$88)^4+$J$75/(1+N$88)^5)+(($J$75*(1+$L92)/(N$88-$L92))/(1+N$88)^5)+(Hipotesis!$D$49+Hipotesis!$D$50-Hipotesis!$D$51+Hipotesis!$D$52+Hipotesis!$D$53-Hipotesis!$D$54))/Hipotesis!$D$46*1000</f>
        <v>87.6789426108154</v>
      </c>
      <c r="O92" s="34" t="n">
        <f aca="false">(($F$75/(1+O$88)^1+$G$75/(1+O$88)^2+$H$75/(1+O$88)^3+$I$75/(1+O$88)^4+$J$75/(1+O$88)^5)+(($J$75*(1+$L92)/(O$88-$L92))/(1+O$88)^5)+(Hipotesis!$D$49+Hipotesis!$D$50-Hipotesis!$D$51+Hipotesis!$D$52+Hipotesis!$D$53-Hipotesis!$D$54))/Hipotesis!$D$46*1000</f>
        <v>80.021028795059</v>
      </c>
      <c r="P92" s="32" t="n">
        <f aca="false">(($F$75/(1+P$88)^1+$G$75/(1+P$88)^2+$H$75/(1+P$88)^3+$I$75/(1+P$88)^4+$J$75/(1+P$88)^5)+(($J$75*(1+$L92)/(P$88-$L92))/(1+P$88)^5)+(Hipotesis!$D$49+Hipotesis!$D$50-Hipotesis!$D$51+Hipotesis!$D$52+Hipotesis!$D$53-Hipotesis!$D$54))/Hipotesis!$D$46*1000</f>
        <v>72.5523182159518</v>
      </c>
      <c r="Q92" s="34" t="n">
        <f aca="false">(($F$75/(1+Q$88)^1+$G$75/(1+Q$88)^2+$H$75/(1+Q$88)^3+$I$75/(1+Q$88)^4+$J$75/(1+Q$88)^5)+(($J$75*(1+$L92)/(Q$88-$L92))/(1+Q$88)^5)+(Hipotesis!$D$49+Hipotesis!$D$50-Hipotesis!$D$51+Hipotesis!$D$52+Hipotesis!$D$53-Hipotesis!$D$54))/Hipotesis!$D$46*1000</f>
        <v>66.298630267378</v>
      </c>
      <c r="R92" s="34" t="n">
        <f aca="false">(($F$75/(1+R$88)^1+$G$75/(1+R$88)^2+$H$75/(1+R$88)^3+$I$75/(1+R$88)^4+$J$75/(1+R$88)^5)+(($J$75*(1+$L92)/(R$88-$L92))/(1+R$88)^5)+(Hipotesis!$D$49+Hipotesis!$D$50-Hipotesis!$D$51+Hipotesis!$D$52+Hipotesis!$D$53-Hipotesis!$D$54))/Hipotesis!$D$46*1000</f>
        <v>61.6971178064846</v>
      </c>
    </row>
    <row r="93" customFormat="false" ht="15" hidden="false" customHeight="false" outlineLevel="0" collapsed="false">
      <c r="B93" s="24" t="s">
        <v>338</v>
      </c>
      <c r="D93" s="21" t="n">
        <f aca="false">D82</f>
        <v>35239.1639450127</v>
      </c>
      <c r="L93" s="73" t="n">
        <v>0.03</v>
      </c>
      <c r="M93" s="34" t="n">
        <f aca="false">(($F$75/(1+M$88)^1+$G$75/(1+M$88)^2+$H$75/(1+M$88)^3+$I$75/(1+M$88)^4+$J$75/(1+M$88)^5)+(($J$75*(1+$L93)/(M$88-$L93))/(1+M$88)^5)+(Hipotesis!$D$49+Hipotesis!$D$50-Hipotesis!$D$51+Hipotesis!$D$52+Hipotesis!$D$53-Hipotesis!$D$54))/Hipotesis!$D$46*1000</f>
        <v>106.182194519989</v>
      </c>
      <c r="N93" s="34" t="n">
        <f aca="false">(($F$75/(1+N$88)^1+$G$75/(1+N$88)^2+$H$75/(1+N$88)^3+$I$75/(1+N$88)^4+$J$75/(1+N$88)^5)+(($J$75*(1+$L93)/(N$88-$L93))/(1+N$88)^5)+(Hipotesis!$D$49+Hipotesis!$D$50-Hipotesis!$D$51+Hipotesis!$D$52+Hipotesis!$D$53-Hipotesis!$D$54))/Hipotesis!$D$46*1000</f>
        <v>93.574325833251</v>
      </c>
      <c r="O93" s="34" t="n">
        <f aca="false">(($F$75/(1+O$88)^1+$G$75/(1+O$88)^2+$H$75/(1+O$88)^3+$I$75/(1+O$88)^4+$J$75/(1+O$88)^5)+(($J$75*(1+$L93)/(O$88-$L93))/(1+O$88)^5)+(Hipotesis!$D$49+Hipotesis!$D$50-Hipotesis!$D$51+Hipotesis!$D$52+Hipotesis!$D$53-Hipotesis!$D$54))/Hipotesis!$D$46*1000</f>
        <v>84.8474803742596</v>
      </c>
      <c r="P93" s="34" t="n">
        <f aca="false">(($F$75/(1+P$88)^1+$G$75/(1+P$88)^2+$H$75/(1+P$88)^3+$I$75/(1+P$88)^4+$J$75/(1+P$88)^5)+(($J$75*(1+$L93)/(P$88-$L93))/(1+P$88)^5)+(Hipotesis!$D$49+Hipotesis!$D$50-Hipotesis!$D$51+Hipotesis!$D$52+Hipotesis!$D$53-Hipotesis!$D$54))/Hipotesis!$D$46*1000</f>
        <v>76.4451776692479</v>
      </c>
      <c r="Q93" s="34" t="n">
        <f aca="false">(($F$75/(1+Q$88)^1+$G$75/(1+Q$88)^2+$H$75/(1+Q$88)^3+$I$75/(1+Q$88)^4+$J$75/(1+Q$88)^5)+(($J$75*(1+$L93)/(Q$88-$L93))/(1+Q$88)^5)+(Hipotesis!$D$49+Hipotesis!$D$50-Hipotesis!$D$51+Hipotesis!$D$52+Hipotesis!$D$53-Hipotesis!$D$54))/Hipotesis!$D$46*1000</f>
        <v>69.4910268176659</v>
      </c>
      <c r="R93" s="34" t="n">
        <f aca="false">(($F$75/(1+R$88)^1+$G$75/(1+R$88)^2+$H$75/(1+R$88)^3+$I$75/(1+R$88)^4+$J$75/(1+R$88)^5)+(($J$75*(1+$L93)/(R$88-$L93))/(1+R$88)^5)+(Hipotesis!$D$49+Hipotesis!$D$50-Hipotesis!$D$51+Hipotesis!$D$52+Hipotesis!$D$53-Hipotesis!$D$54))/Hipotesis!$D$46*1000</f>
        <v>64.4206734461028</v>
      </c>
    </row>
    <row r="94" customFormat="false" ht="15" hidden="false" customHeight="false" outlineLevel="0" collapsed="false">
      <c r="B94" s="24" t="s">
        <v>339</v>
      </c>
      <c r="D94" s="79" t="n">
        <f aca="false">1/(1+D88)^5</f>
        <v>0.608198825497244</v>
      </c>
      <c r="L94" s="73" t="n">
        <v>0.035</v>
      </c>
      <c r="M94" s="34" t="n">
        <f aca="false">(($F$75/(1+M$88)^1+$G$75/(1+M$88)^2+$H$75/(1+M$88)^3+$I$75/(1+M$88)^4+$J$75/(1+M$88)^5)+(($J$75*(1+$L94)/(M$88-$L94))/(1+M$88)^5)+(Hipotesis!$D$49+Hipotesis!$D$50-Hipotesis!$D$51+Hipotesis!$D$52+Hipotesis!$D$53-Hipotesis!$D$54))/Hipotesis!$D$46*1000</f>
        <v>115.319485181749</v>
      </c>
      <c r="N94" s="34" t="n">
        <f aca="false">(($F$75/(1+N$88)^1+$G$75/(1+N$88)^2+$H$75/(1+N$88)^3+$I$75/(1+N$88)^4+$J$75/(1+N$88)^5)+(($J$75*(1+$L94)/(N$88-$L94))/(1+N$88)^5)+(Hipotesis!$D$49+Hipotesis!$D$50-Hipotesis!$D$51+Hipotesis!$D$52+Hipotesis!$D$53-Hipotesis!$D$54))/Hipotesis!$D$46*1000</f>
        <v>100.503986814009</v>
      </c>
      <c r="O94" s="34" t="n">
        <f aca="false">(($F$75/(1+O$88)^1+$G$75/(1+O$88)^2+$H$75/(1+O$88)^3+$I$75/(1+O$88)^4+$J$75/(1+O$88)^5)+(($J$75*(1+$L94)/(O$88-$L94))/(1+O$88)^5)+(Hipotesis!$D$49+Hipotesis!$D$50-Hipotesis!$D$51+Hipotesis!$D$52+Hipotesis!$D$53-Hipotesis!$D$54))/Hipotesis!$D$46*1000</f>
        <v>90.4400353787301</v>
      </c>
      <c r="P94" s="34" t="n">
        <f aca="false">(($F$75/(1+P$88)^1+$G$75/(1+P$88)^2+$H$75/(1+P$88)^3+$I$75/(1+P$88)^4+$J$75/(1+P$88)^5)+(($J$75*(1+$L94)/(P$88-$L94))/(1+P$88)^5)+(Hipotesis!$D$49+Hipotesis!$D$50-Hipotesis!$D$51+Hipotesis!$D$52+Hipotesis!$D$53-Hipotesis!$D$54))/Hipotesis!$D$46*1000</f>
        <v>80.8941599015862</v>
      </c>
      <c r="Q94" s="34" t="n">
        <f aca="false">(($F$75/(1+Q$88)^1+$G$75/(1+Q$88)^2+$H$75/(1+Q$88)^3+$I$75/(1+Q$88)^4+$J$75/(1+Q$88)^5)+(($J$75*(1+$L94)/(Q$88-$L94))/(1+Q$88)^5)+(Hipotesis!$D$49+Hipotesis!$D$50-Hipotesis!$D$51+Hipotesis!$D$52+Hipotesis!$D$53-Hipotesis!$D$54))/Hipotesis!$D$46*1000</f>
        <v>73.0980203225366</v>
      </c>
      <c r="R94" s="34" t="n">
        <f aca="false">(($F$75/(1+R$88)^1+$G$75/(1+R$88)^2+$H$75/(1+R$88)^3+$I$75/(1+R$88)^4+$J$75/(1+R$88)^5)+(($J$75*(1+$L94)/(R$88-$L94))/(1+R$88)^5)+(Hipotesis!$D$49+Hipotesis!$D$50-Hipotesis!$D$51+Hipotesis!$D$52+Hipotesis!$D$53-Hipotesis!$D$54))/Hipotesis!$D$46*1000</f>
        <v>67.4723683194098</v>
      </c>
    </row>
    <row r="96" customFormat="false" ht="15" hidden="false" customHeight="false" outlineLevel="0" collapsed="false">
      <c r="A96" s="35" t="s">
        <v>340</v>
      </c>
      <c r="B96" s="36"/>
      <c r="C96" s="36"/>
      <c r="D96" s="36"/>
      <c r="E96" s="36"/>
      <c r="F96" s="36"/>
      <c r="G96" s="36"/>
      <c r="L96" s="20" t="s">
        <v>341</v>
      </c>
      <c r="M96" s="20"/>
      <c r="N96" s="20"/>
      <c r="O96" s="20"/>
      <c r="P96" s="20"/>
      <c r="Q96" s="20"/>
      <c r="R96" s="20"/>
      <c r="S96" s="20"/>
    </row>
    <row r="97" customFormat="false" ht="15" hidden="false" customHeight="false" outlineLevel="0" collapsed="false">
      <c r="B97" s="11" t="s">
        <v>342</v>
      </c>
      <c r="D97" s="21" t="n">
        <f aca="false">D90*(1+D89)/(D88-D89)</f>
        <v>185852.507151242</v>
      </c>
    </row>
    <row r="98" customFormat="false" ht="15" hidden="false" customHeight="false" outlineLevel="0" collapsed="false">
      <c r="B98" s="2" t="s">
        <v>343</v>
      </c>
      <c r="D98" s="69" t="n">
        <f aca="false">D97*D94</f>
        <v>113035.276565104</v>
      </c>
    </row>
    <row r="100" customFormat="false" ht="15" hidden="false" customHeight="false" outlineLevel="0" collapsed="false">
      <c r="A100" s="35" t="s">
        <v>344</v>
      </c>
      <c r="B100" s="36"/>
      <c r="C100" s="36"/>
      <c r="D100" s="36"/>
      <c r="E100" s="36"/>
      <c r="F100" s="36"/>
      <c r="G100" s="36"/>
    </row>
    <row r="101" customFormat="false" ht="15" hidden="false" customHeight="false" outlineLevel="0" collapsed="false">
      <c r="B101" s="11" t="s">
        <v>345</v>
      </c>
      <c r="D101" s="54" t="n">
        <v>0.075</v>
      </c>
    </row>
    <row r="102" customFormat="false" ht="15" hidden="false" customHeight="false" outlineLevel="0" collapsed="false">
      <c r="B102" s="11" t="s">
        <v>346</v>
      </c>
      <c r="D102" s="60" t="n">
        <v>5</v>
      </c>
    </row>
    <row r="103" customFormat="false" ht="15" hidden="false" customHeight="false" outlineLevel="0" collapsed="false">
      <c r="B103" s="11" t="s">
        <v>347</v>
      </c>
      <c r="D103" s="21" t="n">
        <f aca="false">D90*(1+D89)/(D88-D89)+D90*D102*(D101-D89)/(D88-D89)</f>
        <v>231182.386944228</v>
      </c>
    </row>
    <row r="104" customFormat="false" ht="15" hidden="false" customHeight="false" outlineLevel="0" collapsed="false">
      <c r="B104" s="2" t="s">
        <v>343</v>
      </c>
      <c r="D104" s="69" t="n">
        <f aca="false">D103*D94</f>
        <v>140604.856215129</v>
      </c>
    </row>
    <row r="106" customFormat="false" ht="15" hidden="false" customHeight="false" outlineLevel="0" collapsed="false">
      <c r="A106" s="35" t="s">
        <v>348</v>
      </c>
      <c r="B106" s="36"/>
      <c r="C106" s="36"/>
      <c r="D106" s="36"/>
      <c r="E106" s="36"/>
      <c r="F106" s="36"/>
      <c r="G106" s="36"/>
    </row>
    <row r="107" customFormat="false" ht="15" hidden="false" customHeight="false" outlineLevel="0" collapsed="false">
      <c r="B107" s="11" t="s">
        <v>349</v>
      </c>
      <c r="D107" s="42" t="n">
        <f aca="false">Hipotesis!D16</f>
        <v>16</v>
      </c>
    </row>
    <row r="108" customFormat="false" ht="15" hidden="false" customHeight="false" outlineLevel="0" collapsed="false">
      <c r="B108" s="11" t="s">
        <v>350</v>
      </c>
      <c r="D108" s="21" t="n">
        <f aca="false">D92*D107</f>
        <v>347619.239870093</v>
      </c>
    </row>
    <row r="109" customFormat="false" ht="15" hidden="false" customHeight="false" outlineLevel="0" collapsed="false">
      <c r="B109" s="2" t="s">
        <v>343</v>
      </c>
      <c r="D109" s="69" t="n">
        <f aca="false">D108*D94</f>
        <v>211421.613409236</v>
      </c>
    </row>
    <row r="111" customFormat="false" ht="15" hidden="false" customHeight="false" outlineLevel="0" collapsed="false">
      <c r="A111" s="35" t="s">
        <v>351</v>
      </c>
      <c r="B111" s="36"/>
      <c r="C111" s="36"/>
      <c r="D111" s="36"/>
      <c r="E111" s="36"/>
      <c r="F111" s="36"/>
      <c r="G111" s="36"/>
    </row>
    <row r="112" customFormat="false" ht="15" hidden="false" customHeight="false" outlineLevel="0" collapsed="false">
      <c r="B112" s="11" t="s">
        <v>352</v>
      </c>
      <c r="D112" s="42" t="n">
        <f aca="false">Hipotesis!D17</f>
        <v>18</v>
      </c>
    </row>
    <row r="113" customFormat="false" ht="15" hidden="false" customHeight="false" outlineLevel="0" collapsed="false">
      <c r="B113" s="11" t="s">
        <v>353</v>
      </c>
      <c r="D113" s="21" t="n">
        <f aca="false">D91*D112</f>
        <v>367310.154513982</v>
      </c>
    </row>
    <row r="114" customFormat="false" ht="15" hidden="false" customHeight="false" outlineLevel="0" collapsed="false">
      <c r="B114" s="2" t="s">
        <v>343</v>
      </c>
      <c r="D114" s="69" t="n">
        <f aca="false">D113*D94</f>
        <v>223397.604568615</v>
      </c>
    </row>
    <row r="116" customFormat="false" ht="18" hidden="false" customHeight="true" outlineLevel="0" collapsed="false">
      <c r="A116" s="9" t="s">
        <v>354</v>
      </c>
      <c r="B116" s="9"/>
      <c r="C116" s="9"/>
      <c r="D116" s="9"/>
      <c r="E116" s="9"/>
      <c r="F116" s="9"/>
      <c r="G116" s="9"/>
    </row>
    <row r="117" customFormat="false" ht="15" hidden="false" customHeight="false" outlineLevel="0" collapsed="false">
      <c r="D117" s="22" t="s">
        <v>177</v>
      </c>
      <c r="E117" s="22" t="s">
        <v>178</v>
      </c>
      <c r="F117" s="22" t="s">
        <v>179</v>
      </c>
      <c r="G117" s="22" t="s">
        <v>180</v>
      </c>
      <c r="H117" s="22" t="s">
        <v>181</v>
      </c>
    </row>
    <row r="118" customFormat="false" ht="15" hidden="false" customHeight="false" outlineLevel="0" collapsed="false">
      <c r="B118" s="24" t="s">
        <v>355</v>
      </c>
      <c r="D118" s="21" t="n">
        <f aca="false">$D$93</f>
        <v>35239.1639450127</v>
      </c>
      <c r="E118" s="21" t="n">
        <f aca="false">$D$93</f>
        <v>35239.1639450127</v>
      </c>
      <c r="F118" s="21" t="n">
        <f aca="false">$D$93</f>
        <v>35239.1639450127</v>
      </c>
      <c r="G118" s="21" t="n">
        <f aca="false">$D$93</f>
        <v>35239.1639450127</v>
      </c>
      <c r="H118" s="21" t="n">
        <f aca="false">$D$93</f>
        <v>35239.1639450127</v>
      </c>
    </row>
    <row r="119" customFormat="false" ht="15" hidden="false" customHeight="false" outlineLevel="0" collapsed="false">
      <c r="B119" s="24" t="s">
        <v>356</v>
      </c>
      <c r="D119" s="21" t="n">
        <f aca="false">D98</f>
        <v>113035.276565104</v>
      </c>
      <c r="E119" s="21" t="n">
        <f aca="false">D104</f>
        <v>140604.856215129</v>
      </c>
      <c r="F119" s="21" t="n">
        <f aca="false">D109</f>
        <v>211421.613409236</v>
      </c>
      <c r="G119" s="21" t="n">
        <f aca="false">D114</f>
        <v>223397.604568615</v>
      </c>
      <c r="H119" s="21" t="n">
        <f aca="false">AVERAGE(D119:G119)</f>
        <v>172114.837689521</v>
      </c>
    </row>
    <row r="120" customFormat="false" ht="15" hidden="false" customHeight="false" outlineLevel="0" collapsed="false">
      <c r="B120" s="2" t="s">
        <v>25</v>
      </c>
      <c r="D120" s="75" t="n">
        <f aca="false">D118+D119</f>
        <v>148274.440510116</v>
      </c>
      <c r="E120" s="75" t="n">
        <f aca="false">E118+E119</f>
        <v>175844.020160142</v>
      </c>
      <c r="F120" s="75" t="n">
        <f aca="false">F118+F119</f>
        <v>246660.777354248</v>
      </c>
      <c r="G120" s="75" t="n">
        <f aca="false">G118+G119</f>
        <v>258636.768513628</v>
      </c>
      <c r="H120" s="75" t="n">
        <f aca="false">H118+H119</f>
        <v>207354.001634534</v>
      </c>
    </row>
    <row r="121" customFormat="false" ht="15" hidden="false" customHeight="false" outlineLevel="0" collapsed="false">
      <c r="B121" s="24" t="s">
        <v>357</v>
      </c>
      <c r="D121" s="21" t="n">
        <f aca="false">-Hipotesis!$D$51</f>
        <v>-10514</v>
      </c>
      <c r="E121" s="21" t="n">
        <f aca="false">-Hipotesis!$D$51</f>
        <v>-10514</v>
      </c>
      <c r="F121" s="21" t="n">
        <f aca="false">-Hipotesis!$D$51</f>
        <v>-10514</v>
      </c>
      <c r="G121" s="21" t="n">
        <f aca="false">-Hipotesis!$D$51</f>
        <v>-10514</v>
      </c>
      <c r="H121" s="21" t="n">
        <f aca="false">-Hipotesis!$D$51</f>
        <v>-10514</v>
      </c>
    </row>
    <row r="122" customFormat="false" ht="15" hidden="false" customHeight="false" outlineLevel="0" collapsed="false">
      <c r="B122" s="24" t="s">
        <v>358</v>
      </c>
      <c r="D122" s="21" t="n">
        <f aca="false">Hipotesis!$D$49+Hipotesis!$D$50</f>
        <v>6091</v>
      </c>
      <c r="E122" s="21" t="n">
        <f aca="false">Hipotesis!$D$49+Hipotesis!$D$50</f>
        <v>6091</v>
      </c>
      <c r="F122" s="21" t="n">
        <f aca="false">Hipotesis!$D$49+Hipotesis!$D$50</f>
        <v>6091</v>
      </c>
      <c r="G122" s="21" t="n">
        <f aca="false">Hipotesis!$D$49+Hipotesis!$D$50</f>
        <v>6091</v>
      </c>
      <c r="H122" s="21" t="n">
        <f aca="false">Hipotesis!$D$49+Hipotesis!$D$50</f>
        <v>6091</v>
      </c>
    </row>
    <row r="123" customFormat="false" ht="15" hidden="false" customHeight="false" outlineLevel="0" collapsed="false">
      <c r="B123" s="24" t="s">
        <v>359</v>
      </c>
      <c r="D123" s="21" t="n">
        <f aca="false">Hipotesis!$D$52</f>
        <v>8109</v>
      </c>
      <c r="E123" s="21" t="n">
        <f aca="false">Hipotesis!$D$52</f>
        <v>8109</v>
      </c>
      <c r="F123" s="21" t="n">
        <f aca="false">Hipotesis!$D$52</f>
        <v>8109</v>
      </c>
      <c r="G123" s="21" t="n">
        <f aca="false">Hipotesis!$D$52</f>
        <v>8109</v>
      </c>
      <c r="H123" s="21" t="n">
        <f aca="false">Hipotesis!$D$52</f>
        <v>8109</v>
      </c>
    </row>
    <row r="124" customFormat="false" ht="15" hidden="false" customHeight="false" outlineLevel="0" collapsed="false">
      <c r="B124" s="24" t="s">
        <v>360</v>
      </c>
      <c r="D124" s="21" t="n">
        <f aca="false">Hipotesis!$D$53</f>
        <v>268</v>
      </c>
      <c r="E124" s="21" t="n">
        <f aca="false">Hipotesis!$D$53</f>
        <v>268</v>
      </c>
      <c r="F124" s="21" t="n">
        <f aca="false">Hipotesis!$D$53</f>
        <v>268</v>
      </c>
      <c r="G124" s="21" t="n">
        <f aca="false">Hipotesis!$D$53</f>
        <v>268</v>
      </c>
      <c r="H124" s="21" t="n">
        <f aca="false">Hipotesis!$D$53</f>
        <v>268</v>
      </c>
    </row>
    <row r="125" customFormat="false" ht="15" hidden="false" customHeight="false" outlineLevel="0" collapsed="false">
      <c r="B125" s="24" t="s">
        <v>361</v>
      </c>
      <c r="D125" s="21" t="n">
        <f aca="false">-Hipotesis!$D$54</f>
        <v>-1061</v>
      </c>
      <c r="E125" s="21" t="n">
        <f aca="false">-Hipotesis!$D$54</f>
        <v>-1061</v>
      </c>
      <c r="F125" s="21" t="n">
        <f aca="false">-Hipotesis!$D$54</f>
        <v>-1061</v>
      </c>
      <c r="G125" s="21" t="n">
        <f aca="false">-Hipotesis!$D$54</f>
        <v>-1061</v>
      </c>
      <c r="H125" s="21" t="n">
        <f aca="false">-Hipotesis!$D$54</f>
        <v>-1061</v>
      </c>
    </row>
    <row r="126" customFormat="false" ht="15" hidden="false" customHeight="false" outlineLevel="0" collapsed="false">
      <c r="B126" s="2" t="s">
        <v>362</v>
      </c>
      <c r="D126" s="75" t="n">
        <f aca="false">SUM(D120:D125)</f>
        <v>151167.440510116</v>
      </c>
      <c r="E126" s="75" t="n">
        <f aca="false">SUM(E120:E125)</f>
        <v>178737.020160142</v>
      </c>
      <c r="F126" s="75" t="n">
        <f aca="false">SUM(F120:F125)</f>
        <v>249553.777354248</v>
      </c>
      <c r="G126" s="75" t="n">
        <f aca="false">SUM(G120:G125)</f>
        <v>261529.768513628</v>
      </c>
      <c r="H126" s="75" t="n">
        <f aca="false">SUM(H120:H125)</f>
        <v>210247.001634534</v>
      </c>
    </row>
    <row r="128" customFormat="false" ht="15" hidden="false" customHeight="false" outlineLevel="0" collapsed="false">
      <c r="B128" s="2" t="s">
        <v>363</v>
      </c>
      <c r="D128" s="32" t="n">
        <f aca="false">D126/Hipotesis!$D$46*1000</f>
        <v>72.9787087566356</v>
      </c>
      <c r="E128" s="32" t="n">
        <f aca="false">E126/Hipotesis!$D$46*1000</f>
        <v>86.288402411781</v>
      </c>
      <c r="F128" s="32" t="n">
        <f aca="false">F126/Hipotesis!$D$46*1000</f>
        <v>120.476422536473</v>
      </c>
      <c r="G128" s="32" t="n">
        <f aca="false">G126/Hipotesis!$D$46*1000</f>
        <v>126.258040376553</v>
      </c>
      <c r="H128" s="32" t="n">
        <f aca="false">H126/Hipotesis!$D$46*1000</f>
        <v>101.500393520361</v>
      </c>
    </row>
    <row r="129" customFormat="false" ht="15" hidden="false" customHeight="false" outlineLevel="0" collapsed="false">
      <c r="B129" s="24" t="s">
        <v>364</v>
      </c>
      <c r="D129" s="30" t="n">
        <f aca="false">Hipotesis!$D$55</f>
        <v>77.11</v>
      </c>
      <c r="E129" s="30" t="n">
        <f aca="false">Hipotesis!$D$55</f>
        <v>77.11</v>
      </c>
      <c r="F129" s="30" t="n">
        <f aca="false">Hipotesis!$D$55</f>
        <v>77.11</v>
      </c>
      <c r="G129" s="30" t="n">
        <f aca="false">Hipotesis!$D$55</f>
        <v>77.11</v>
      </c>
      <c r="H129" s="30" t="n">
        <f aca="false">Hipotesis!$D$55</f>
        <v>77.11</v>
      </c>
    </row>
    <row r="130" customFormat="false" ht="15" hidden="false" customHeight="false" outlineLevel="0" collapsed="false">
      <c r="B130" s="2" t="s">
        <v>365</v>
      </c>
      <c r="D130" s="33" t="n">
        <f aca="false">D128/D129-1</f>
        <v>-0.053576595037795</v>
      </c>
      <c r="E130" s="33" t="n">
        <f aca="false">E128/E129-1</f>
        <v>0.119029988481144</v>
      </c>
      <c r="F130" s="33" t="n">
        <f aca="false">F128/F129-1</f>
        <v>0.562396868583497</v>
      </c>
      <c r="G130" s="33" t="n">
        <f aca="false">G128/G129-1</f>
        <v>0.637375701939473</v>
      </c>
      <c r="H130" s="33" t="n">
        <f aca="false">H128/H129-1</f>
        <v>0.31630649099158</v>
      </c>
    </row>
    <row r="132" customFormat="false" ht="18" hidden="false" customHeight="true" outlineLevel="0" collapsed="false">
      <c r="A132" s="9" t="s">
        <v>366</v>
      </c>
      <c r="B132" s="9"/>
      <c r="C132" s="9"/>
      <c r="D132" s="9"/>
      <c r="E132" s="9"/>
      <c r="F132" s="9"/>
      <c r="G132" s="9"/>
    </row>
    <row r="133" customFormat="false" ht="15" hidden="false" customHeight="false" outlineLevel="0" collapsed="false">
      <c r="B133" s="2" t="s">
        <v>177</v>
      </c>
      <c r="D133" s="30" t="n">
        <f aca="false">D128</f>
        <v>72.9787087566356</v>
      </c>
      <c r="E133" s="31" t="n">
        <f aca="false">D130</f>
        <v>-0.053576595037795</v>
      </c>
    </row>
    <row r="134" customFormat="false" ht="15" hidden="false" customHeight="false" outlineLevel="0" collapsed="false">
      <c r="B134" s="2" t="s">
        <v>178</v>
      </c>
      <c r="D134" s="30" t="n">
        <f aca="false">E128</f>
        <v>86.288402411781</v>
      </c>
      <c r="E134" s="31" t="n">
        <f aca="false">E130</f>
        <v>0.119029988481144</v>
      </c>
    </row>
    <row r="135" customFormat="false" ht="15" hidden="false" customHeight="false" outlineLevel="0" collapsed="false">
      <c r="B135" s="2" t="s">
        <v>179</v>
      </c>
      <c r="D135" s="30" t="n">
        <f aca="false">F128</f>
        <v>120.476422536473</v>
      </c>
      <c r="E135" s="31" t="n">
        <f aca="false">F130</f>
        <v>0.562396868583497</v>
      </c>
    </row>
    <row r="136" customFormat="false" ht="15" hidden="false" customHeight="false" outlineLevel="0" collapsed="false">
      <c r="B136" s="2" t="s">
        <v>180</v>
      </c>
      <c r="D136" s="30" t="n">
        <f aca="false">G128</f>
        <v>126.258040376553</v>
      </c>
      <c r="E136" s="31" t="n">
        <f aca="false">G130</f>
        <v>0.637375701939473</v>
      </c>
    </row>
    <row r="137" customFormat="false" ht="15" hidden="false" customHeight="false" outlineLevel="0" collapsed="false">
      <c r="B137" s="2" t="s">
        <v>181</v>
      </c>
      <c r="D137" s="30" t="n">
        <f aca="false">H128</f>
        <v>101.500393520361</v>
      </c>
      <c r="E137" s="31" t="n">
        <f aca="false">H130</f>
        <v>0.31630649099158</v>
      </c>
    </row>
    <row r="138" customFormat="false" ht="15" hidden="false" customHeight="false" outlineLevel="0" collapsed="false">
      <c r="B138" s="2" t="s">
        <v>367</v>
      </c>
      <c r="D138" s="32" t="n">
        <f aca="false">MEDIAN(D133:D137)</f>
        <v>101.500393520361</v>
      </c>
    </row>
  </sheetData>
  <mergeCells count="18">
    <mergeCell ref="A1:T1"/>
    <mergeCell ref="A6:G6"/>
    <mergeCell ref="L6:R6"/>
    <mergeCell ref="L16:S16"/>
    <mergeCell ref="A18:G18"/>
    <mergeCell ref="A28:G28"/>
    <mergeCell ref="A37:G37"/>
    <mergeCell ref="L37:R37"/>
    <mergeCell ref="L47:S47"/>
    <mergeCell ref="A49:G49"/>
    <mergeCell ref="A74:G74"/>
    <mergeCell ref="L74:R74"/>
    <mergeCell ref="L84:S84"/>
    <mergeCell ref="A86:G86"/>
    <mergeCell ref="L86:R86"/>
    <mergeCell ref="L96:S96"/>
    <mergeCell ref="A116:G116"/>
    <mergeCell ref="A132:G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9" min="3" style="0" width="12"/>
  </cols>
  <sheetData>
    <row r="1" customFormat="false" ht="24" hidden="false" customHeight="true" outlineLevel="0" collapsed="false">
      <c r="A1" s="1" t="s">
        <v>368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1</v>
      </c>
      <c r="C2" s="3" t="s">
        <v>2</v>
      </c>
      <c r="D2" s="4" t="s">
        <v>3</v>
      </c>
      <c r="E2" s="5" t="s">
        <v>4</v>
      </c>
      <c r="F2" s="4" t="s">
        <v>5</v>
      </c>
      <c r="G2" s="6" t="s">
        <v>6</v>
      </c>
      <c r="H2" s="4" t="s">
        <v>7</v>
      </c>
      <c r="I2" s="7" t="s">
        <v>8</v>
      </c>
      <c r="J2" s="4" t="s">
        <v>9</v>
      </c>
      <c r="K2" s="8" t="s">
        <v>10</v>
      </c>
      <c r="L2" s="4" t="s">
        <v>11</v>
      </c>
    </row>
    <row r="4" customFormat="false" ht="15" hidden="false" customHeight="false" outlineLevel="0" collapsed="false">
      <c r="D4" s="22" t="s">
        <v>164</v>
      </c>
      <c r="E4" s="22" t="s">
        <v>72</v>
      </c>
      <c r="F4" s="22" t="s">
        <v>73</v>
      </c>
      <c r="G4" s="22" t="s">
        <v>74</v>
      </c>
      <c r="H4" s="22" t="s">
        <v>75</v>
      </c>
      <c r="I4" s="22" t="s">
        <v>76</v>
      </c>
    </row>
    <row r="6" customFormat="false" ht="18" hidden="false" customHeight="true" outlineLevel="0" collapsed="false">
      <c r="A6" s="9" t="s">
        <v>369</v>
      </c>
      <c r="B6" s="9"/>
      <c r="C6" s="9"/>
      <c r="D6" s="9"/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B7" s="63" t="s">
        <v>370</v>
      </c>
    </row>
    <row r="9" customFormat="false" ht="15" hidden="false" customHeight="false" outlineLevel="0" collapsed="false">
      <c r="A9" s="35" t="s">
        <v>371</v>
      </c>
      <c r="B9" s="36"/>
      <c r="C9" s="36"/>
      <c r="D9" s="36"/>
      <c r="E9" s="36"/>
      <c r="F9" s="36"/>
      <c r="G9" s="36"/>
      <c r="H9" s="36"/>
      <c r="I9" s="36"/>
      <c r="J9" s="36"/>
    </row>
    <row r="10" customFormat="false" ht="15" hidden="false" customHeight="false" outlineLevel="0" collapsed="false">
      <c r="B10" s="2" t="s">
        <v>165</v>
      </c>
      <c r="D10" s="23" t="n">
        <f aca="false">Historico!D7</f>
        <v>11139</v>
      </c>
      <c r="E10" s="23" t="n">
        <f aca="false">Historico!E7</f>
        <v>17455</v>
      </c>
      <c r="F10" s="23" t="n">
        <f aca="false">Historico!F7</f>
        <v>31877</v>
      </c>
      <c r="G10" s="23" t="n">
        <f aca="false">Historico!G7</f>
        <v>37281</v>
      </c>
      <c r="H10" s="23" t="n">
        <f aca="false">Historico!H7</f>
        <v>43978</v>
      </c>
      <c r="I10" s="23" t="n">
        <f aca="false">Historico!I7</f>
        <v>52017</v>
      </c>
    </row>
    <row r="11" customFormat="false" ht="15" hidden="false" customHeight="false" outlineLevel="0" collapsed="false">
      <c r="B11" s="2" t="s">
        <v>372</v>
      </c>
      <c r="D11" s="23" t="n">
        <f aca="false">Historico!D17</f>
        <v>-4863</v>
      </c>
      <c r="E11" s="23" t="n">
        <f aca="false">Historico!E17</f>
        <v>-3824</v>
      </c>
      <c r="F11" s="23" t="n">
        <f aca="false">Historico!F17</f>
        <v>-1832</v>
      </c>
      <c r="G11" s="23" t="n">
        <f aca="false">Historico!G17</f>
        <v>1110</v>
      </c>
      <c r="H11" s="23" t="n">
        <f aca="false">Historico!H17</f>
        <v>2799</v>
      </c>
      <c r="I11" s="23" t="n">
        <f aca="false">Historico!I17</f>
        <v>5565</v>
      </c>
    </row>
    <row r="12" customFormat="false" ht="15" hidden="false" customHeight="false" outlineLevel="0" collapsed="false">
      <c r="B12" s="24" t="s">
        <v>373</v>
      </c>
      <c r="D12" s="18" t="n">
        <v>-2725</v>
      </c>
      <c r="E12" s="18" t="n">
        <v>3292</v>
      </c>
      <c r="F12" s="18" t="n">
        <v>-7029</v>
      </c>
      <c r="G12" s="18" t="n">
        <v>738</v>
      </c>
      <c r="H12" s="18" t="n">
        <v>7350</v>
      </c>
      <c r="I12" s="18" t="n">
        <v>4500</v>
      </c>
    </row>
    <row r="13" customFormat="false" ht="15" hidden="false" customHeight="false" outlineLevel="0" collapsed="false">
      <c r="B13" s="24" t="s">
        <v>374</v>
      </c>
      <c r="D13" s="21" t="n">
        <f aca="false">D11+D12</f>
        <v>-7588</v>
      </c>
      <c r="E13" s="21" t="n">
        <f aca="false">E11+E12</f>
        <v>-532</v>
      </c>
      <c r="F13" s="21" t="n">
        <f aca="false">F11+F12</f>
        <v>-8861</v>
      </c>
      <c r="G13" s="21" t="n">
        <f aca="false">G11+G12</f>
        <v>1848</v>
      </c>
      <c r="H13" s="21" t="n">
        <f aca="false">H11+H12</f>
        <v>10149</v>
      </c>
      <c r="I13" s="21" t="n">
        <f aca="false">I11+I12</f>
        <v>10065</v>
      </c>
    </row>
    <row r="14" customFormat="false" ht="15" hidden="false" customHeight="false" outlineLevel="0" collapsed="false">
      <c r="B14" s="2" t="s">
        <v>375</v>
      </c>
      <c r="D14" s="23" t="n">
        <f aca="false">Historico!D22</f>
        <v>-6768</v>
      </c>
      <c r="E14" s="23" t="n">
        <f aca="false">Historico!E22</f>
        <v>-496</v>
      </c>
      <c r="F14" s="23" t="n">
        <f aca="false">Historico!F22</f>
        <v>-9141</v>
      </c>
      <c r="G14" s="23" t="n">
        <f aca="false">Historico!G22</f>
        <v>1887</v>
      </c>
      <c r="H14" s="23" t="n">
        <f aca="false">Historico!H22</f>
        <v>9856</v>
      </c>
      <c r="I14" s="23" t="n">
        <f aca="false">Historico!I22</f>
        <v>10053</v>
      </c>
    </row>
    <row r="15" customFormat="false" ht="15" hidden="false" customHeight="false" outlineLevel="0" collapsed="false">
      <c r="B15" s="2" t="s">
        <v>376</v>
      </c>
      <c r="D15" s="23" t="n">
        <f aca="false">Historico!D49</f>
        <v>33252</v>
      </c>
      <c r="E15" s="23" t="n">
        <f aca="false">(Historico!D49+Historico!E49)/2</f>
        <v>36013</v>
      </c>
      <c r="F15" s="23" t="n">
        <f aca="false">(Historico!E49+Historico!F49)/2</f>
        <v>35441.5</v>
      </c>
      <c r="G15" s="23" t="n">
        <f aca="false">(Historico!F49+Historico!G49)/2</f>
        <v>35404</v>
      </c>
      <c r="H15" s="23" t="n">
        <f aca="false">(Historico!G49+Historico!H49)/2</f>
        <v>44971.5</v>
      </c>
      <c r="I15" s="23" t="n">
        <f aca="false">(Historico!H49+Historico!I49)/2</f>
        <v>56523</v>
      </c>
    </row>
    <row r="16" customFormat="false" ht="15" hidden="false" customHeight="false" outlineLevel="0" collapsed="false">
      <c r="B16" s="2" t="s">
        <v>377</v>
      </c>
      <c r="D16" s="23" t="n">
        <f aca="false">Historico!D50</f>
        <v>12266</v>
      </c>
      <c r="E16" s="23" t="n">
        <f aca="false">(Historico!D50+Historico!E50)/2</f>
        <v>13362</v>
      </c>
      <c r="F16" s="23" t="n">
        <f aca="false">(Historico!E50+Historico!F50)/2</f>
        <v>10899</v>
      </c>
      <c r="G16" s="23" t="n">
        <f aca="false">(Historico!F50+Historico!G50)/2</f>
        <v>9294.5</v>
      </c>
      <c r="H16" s="23" t="n">
        <f aca="false">(Historico!G50+Historico!H50)/2</f>
        <v>16403.5</v>
      </c>
      <c r="I16" s="23" t="n">
        <f aca="false">(Historico!H50+Historico!I50)/2</f>
        <v>24299.5</v>
      </c>
    </row>
    <row r="18" customFormat="false" ht="15" hidden="false" customHeight="false" outlineLevel="0" collapsed="false">
      <c r="A18" s="35" t="s">
        <v>378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5" hidden="false" customHeight="false" outlineLevel="0" collapsed="false">
      <c r="B19" s="2" t="s">
        <v>379</v>
      </c>
      <c r="D19" s="31" t="n">
        <f aca="false">IFERROR(D14/D13,0)</f>
        <v>0.891934633632051</v>
      </c>
      <c r="E19" s="31" t="n">
        <f aca="false">IFERROR(E14/E13,0)</f>
        <v>0.932330827067669</v>
      </c>
      <c r="F19" s="31" t="n">
        <f aca="false">IFERROR(F14/F13,0)</f>
        <v>1.03159914230899</v>
      </c>
      <c r="G19" s="31" t="n">
        <f aca="false">IFERROR(G14/G13,0)</f>
        <v>1.0211038961039</v>
      </c>
      <c r="H19" s="31" t="n">
        <f aca="false">IFERROR(H14/H13,0)</f>
        <v>0.971130160606956</v>
      </c>
      <c r="I19" s="31" t="n">
        <f aca="false">IFERROR(I14/I13,0)</f>
        <v>0.998807749627422</v>
      </c>
    </row>
    <row r="20" customFormat="false" ht="15" hidden="false" customHeight="false" outlineLevel="0" collapsed="false">
      <c r="B20" s="2" t="s">
        <v>380</v>
      </c>
      <c r="D20" s="31" t="n">
        <f aca="false">IFERROR(D13/D11,0)</f>
        <v>1.56035369113716</v>
      </c>
      <c r="E20" s="31" t="n">
        <f aca="false">IFERROR(E13/E11,0)</f>
        <v>0.139121338912134</v>
      </c>
      <c r="F20" s="31" t="n">
        <f aca="false">IFERROR(F13/F11,0)</f>
        <v>4.8367903930131</v>
      </c>
      <c r="G20" s="31" t="n">
        <f aca="false">IFERROR(G13/G11,0)</f>
        <v>1.66486486486487</v>
      </c>
      <c r="H20" s="31" t="n">
        <f aca="false">IFERROR(H13/H11,0)</f>
        <v>3.62593783494105</v>
      </c>
      <c r="I20" s="31" t="n">
        <f aca="false">IFERROR(I13/I11,0)</f>
        <v>1.80862533692722</v>
      </c>
    </row>
    <row r="21" customFormat="false" ht="15" hidden="false" customHeight="false" outlineLevel="0" collapsed="false">
      <c r="B21" s="2" t="s">
        <v>381</v>
      </c>
      <c r="D21" s="31" t="n">
        <f aca="false">D11/D10</f>
        <v>-0.43657419876111</v>
      </c>
      <c r="E21" s="31" t="n">
        <f aca="false">E11/E10</f>
        <v>-0.219077628186766</v>
      </c>
      <c r="F21" s="31" t="n">
        <f aca="false">F11/F10</f>
        <v>-0.0574709037864291</v>
      </c>
      <c r="G21" s="31" t="n">
        <f aca="false">G11/G10</f>
        <v>0.0297738794560232</v>
      </c>
      <c r="H21" s="31" t="n">
        <f aca="false">H11/H10</f>
        <v>0.063645459093183</v>
      </c>
      <c r="I21" s="31" t="n">
        <f aca="false">I11/I10</f>
        <v>0.106984255147356</v>
      </c>
    </row>
    <row r="22" customFormat="false" ht="15" hidden="false" customHeight="false" outlineLevel="0" collapsed="false">
      <c r="B22" s="2" t="s">
        <v>382</v>
      </c>
      <c r="D22" s="80" t="n">
        <f aca="false">D10/D15</f>
        <v>0.334987369180801</v>
      </c>
      <c r="E22" s="80" t="n">
        <f aca="false">E10/E15</f>
        <v>0.484686085580207</v>
      </c>
      <c r="F22" s="80" t="n">
        <f aca="false">F10/F15</f>
        <v>0.899425814370159</v>
      </c>
      <c r="G22" s="80" t="n">
        <f aca="false">G10/G15</f>
        <v>1.05301660829285</v>
      </c>
      <c r="H22" s="80" t="n">
        <f aca="false">H10/H15</f>
        <v>0.977908230768376</v>
      </c>
      <c r="I22" s="80" t="n">
        <f aca="false">I10/I15</f>
        <v>0.920280239902341</v>
      </c>
    </row>
    <row r="23" customFormat="false" ht="15" hidden="false" customHeight="false" outlineLevel="0" collapsed="false">
      <c r="B23" s="2" t="s">
        <v>383</v>
      </c>
      <c r="D23" s="80" t="n">
        <f aca="false">D15/D16</f>
        <v>2.71090820153269</v>
      </c>
      <c r="E23" s="80" t="n">
        <f aca="false">E15/E16</f>
        <v>2.69518036222122</v>
      </c>
      <c r="F23" s="80" t="n">
        <f aca="false">F15/F16</f>
        <v>3.25181209285256</v>
      </c>
      <c r="G23" s="80" t="n">
        <f aca="false">G15/G16</f>
        <v>3.80913443434289</v>
      </c>
      <c r="H23" s="80" t="n">
        <f aca="false">H15/H16</f>
        <v>2.74157954095163</v>
      </c>
      <c r="I23" s="80" t="n">
        <f aca="false">I15/I16</f>
        <v>2.32609724479928</v>
      </c>
    </row>
    <row r="25" customFormat="false" ht="15" hidden="false" customHeight="false" outlineLevel="0" collapsed="false">
      <c r="B25" s="2" t="s">
        <v>384</v>
      </c>
      <c r="D25" s="81" t="n">
        <f aca="false">D19*D20*D21*D22*D23</f>
        <v>-0.551769117886842</v>
      </c>
      <c r="E25" s="81" t="n">
        <f aca="false">E19*E20*E21*E22*E23</f>
        <v>-0.0371201915880856</v>
      </c>
      <c r="F25" s="81" t="n">
        <f aca="false">F19*F20*F21*F22*F23</f>
        <v>-0.838700798238371</v>
      </c>
      <c r="G25" s="81" t="n">
        <f aca="false">G19*G20*G21*G22*G23</f>
        <v>0.203023293345527</v>
      </c>
      <c r="H25" s="81" t="n">
        <f aca="false">H19*H20*H21*H22*H23</f>
        <v>0.600847380132289</v>
      </c>
      <c r="I25" s="81" t="n">
        <f aca="false">I19*I20*I21*I22*I23</f>
        <v>0.413712216300747</v>
      </c>
    </row>
    <row r="26" customFormat="false" ht="15" hidden="false" customHeight="false" outlineLevel="0" collapsed="false">
      <c r="B26" s="24" t="s">
        <v>385</v>
      </c>
      <c r="D26" s="31" t="n">
        <f aca="false">D14/D16</f>
        <v>-0.551769117886842</v>
      </c>
      <c r="E26" s="31" t="n">
        <f aca="false">E14/E16</f>
        <v>-0.0371201915880856</v>
      </c>
      <c r="F26" s="31" t="n">
        <f aca="false">F14/F16</f>
        <v>-0.838700798238371</v>
      </c>
      <c r="G26" s="31" t="n">
        <f aca="false">G14/G16</f>
        <v>0.203023293345527</v>
      </c>
      <c r="H26" s="31" t="n">
        <f aca="false">H14/H16</f>
        <v>0.600847380132289</v>
      </c>
      <c r="I26" s="31" t="n">
        <f aca="false">I14/I16</f>
        <v>0.413712216300747</v>
      </c>
    </row>
    <row r="28" customFormat="false" ht="15" hidden="false" customHeight="false" outlineLevel="0" collapsed="false">
      <c r="B28" s="2" t="s">
        <v>386</v>
      </c>
      <c r="D28" s="20" t="s">
        <v>387</v>
      </c>
      <c r="E28" s="20"/>
      <c r="F28" s="20"/>
      <c r="G28" s="20"/>
      <c r="H28" s="20"/>
      <c r="I28" s="20"/>
      <c r="J28" s="20"/>
    </row>
    <row r="30" customFormat="false" ht="18" hidden="false" customHeight="true" outlineLevel="0" collapsed="false">
      <c r="A30" s="9" t="s">
        <v>388</v>
      </c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5" hidden="false" customHeight="false" outlineLevel="0" collapsed="false">
      <c r="B31" s="63" t="s">
        <v>389</v>
      </c>
    </row>
    <row r="33" customFormat="false" ht="15" hidden="false" customHeight="false" outlineLevel="0" collapsed="false">
      <c r="B33" s="24" t="s">
        <v>390</v>
      </c>
      <c r="D33" s="21" t="n">
        <f aca="false">D11</f>
        <v>-4863</v>
      </c>
      <c r="E33" s="21" t="n">
        <f aca="false">E11</f>
        <v>-3824</v>
      </c>
      <c r="F33" s="21" t="n">
        <f aca="false">F11</f>
        <v>-1832</v>
      </c>
      <c r="G33" s="21" t="n">
        <f aca="false">G11</f>
        <v>1110</v>
      </c>
      <c r="H33" s="21" t="n">
        <f aca="false">H11</f>
        <v>2799</v>
      </c>
      <c r="I33" s="21" t="n">
        <f aca="false">I11</f>
        <v>5565</v>
      </c>
    </row>
    <row r="34" customFormat="false" ht="15" hidden="false" customHeight="false" outlineLevel="0" collapsed="false">
      <c r="B34" s="24" t="s">
        <v>391</v>
      </c>
      <c r="D34" s="31" t="n">
        <f aca="false">Hipotesis!$D$10</f>
        <v>0.22</v>
      </c>
      <c r="E34" s="31" t="n">
        <f aca="false">Hipotesis!$D$10</f>
        <v>0.22</v>
      </c>
      <c r="F34" s="31" t="n">
        <f aca="false">Hipotesis!$D$10</f>
        <v>0.22</v>
      </c>
      <c r="G34" s="31" t="n">
        <f aca="false">Hipotesis!$D$10</f>
        <v>0.22</v>
      </c>
      <c r="H34" s="31" t="n">
        <f aca="false">Hipotesis!$D$10</f>
        <v>0.22</v>
      </c>
      <c r="I34" s="31" t="n">
        <f aca="false">Hipotesis!$D$10</f>
        <v>0.22</v>
      </c>
    </row>
    <row r="35" customFormat="false" ht="15" hidden="false" customHeight="false" outlineLevel="0" collapsed="false">
      <c r="B35" s="2" t="s">
        <v>322</v>
      </c>
      <c r="D35" s="21" t="n">
        <f aca="false">D33*(1-D34)</f>
        <v>-3793.14</v>
      </c>
      <c r="E35" s="21" t="n">
        <f aca="false">E33*(1-E34)</f>
        <v>-2982.72</v>
      </c>
      <c r="F35" s="21" t="n">
        <f aca="false">F33*(1-F34)</f>
        <v>-1428.96</v>
      </c>
      <c r="G35" s="21" t="n">
        <f aca="false">G33*(1-G34)</f>
        <v>865.8</v>
      </c>
      <c r="H35" s="21" t="n">
        <f aca="false">H33*(1-H34)</f>
        <v>2183.22</v>
      </c>
      <c r="I35" s="21" t="n">
        <f aca="false">I33*(1-I34)</f>
        <v>4340.7</v>
      </c>
    </row>
    <row r="36" customFormat="false" ht="15" hidden="false" customHeight="false" outlineLevel="0" collapsed="false">
      <c r="B36" s="24" t="s">
        <v>392</v>
      </c>
      <c r="D36" s="21" t="n">
        <f aca="false">Historico!D50+Historico!D52-Historico!D53</f>
        <v>12435</v>
      </c>
      <c r="E36" s="21" t="n">
        <f aca="false">Historico!E50+Historico!E52-Historico!E53</f>
        <v>15929</v>
      </c>
      <c r="F36" s="21" t="n">
        <f aca="false">Historico!F50+Historico!F52-Historico!F53</f>
        <v>11198</v>
      </c>
      <c r="G36" s="21" t="n">
        <f aca="false">Historico!G50+Historico!G52-Historico!G53</f>
        <v>15481</v>
      </c>
      <c r="H36" s="21" t="n">
        <f aca="false">Historico!H50+Historico!H52-Historico!H53</f>
        <v>25100</v>
      </c>
      <c r="I36" s="21" t="n">
        <f aca="false">Historico!I50+Historico!I52-Historico!I53</f>
        <v>29929</v>
      </c>
    </row>
    <row r="37" customFormat="false" ht="15" hidden="false" customHeight="false" outlineLevel="0" collapsed="false">
      <c r="B37" s="2" t="s">
        <v>393</v>
      </c>
      <c r="D37" s="81" t="n">
        <f aca="false">IFERROR(D35/D36,0)</f>
        <v>-0.305037394451146</v>
      </c>
      <c r="E37" s="81" t="n">
        <f aca="false">IFERROR(E35/E36,0)</f>
        <v>-0.187250925984054</v>
      </c>
      <c r="F37" s="81" t="n">
        <f aca="false">IFERROR(F35/F36,0)</f>
        <v>-0.127608501518128</v>
      </c>
      <c r="G37" s="81" t="n">
        <f aca="false">IFERROR(G35/G36,0)</f>
        <v>0.0559266197274078</v>
      </c>
      <c r="H37" s="81" t="n">
        <f aca="false">IFERROR(H35/H36,0)</f>
        <v>0.0869808764940239</v>
      </c>
      <c r="I37" s="81" t="n">
        <f aca="false">IFERROR(I35/I36,0)</f>
        <v>0.145033245347322</v>
      </c>
    </row>
    <row r="38" customFormat="false" ht="15" hidden="false" customHeight="false" outlineLevel="0" collapsed="false">
      <c r="B38" s="2" t="s">
        <v>394</v>
      </c>
      <c r="D38" s="31" t="n">
        <f aca="false">IFERROR(D33/D36,0)</f>
        <v>-0.391073582629674</v>
      </c>
      <c r="E38" s="31" t="n">
        <f aca="false">IFERROR(E33/E36,0)</f>
        <v>-0.240065289723146</v>
      </c>
      <c r="F38" s="31" t="n">
        <f aca="false">IFERROR(F33/F36,0)</f>
        <v>-0.163600642971959</v>
      </c>
      <c r="G38" s="31" t="n">
        <f aca="false">IFERROR(G33/G36,0)</f>
        <v>0.0717007945223177</v>
      </c>
      <c r="H38" s="31" t="n">
        <f aca="false">IFERROR(H33/H36,0)</f>
        <v>0.111513944223108</v>
      </c>
      <c r="I38" s="31" t="n">
        <f aca="false">IFERROR(I33/I36,0)</f>
        <v>0.185940058137592</v>
      </c>
    </row>
    <row r="40" customFormat="false" ht="15" hidden="false" customHeight="false" outlineLevel="0" collapsed="false">
      <c r="B40" s="2" t="s">
        <v>395</v>
      </c>
    </row>
    <row r="41" customFormat="false" ht="15" hidden="false" customHeight="false" outlineLevel="0" collapsed="false">
      <c r="B41" s="63" t="s">
        <v>396</v>
      </c>
    </row>
    <row r="42" customFormat="false" ht="15" hidden="false" customHeight="false" outlineLevel="0" collapsed="false">
      <c r="B42" s="63" t="s">
        <v>397</v>
      </c>
    </row>
    <row r="43" customFormat="false" ht="15" hidden="false" customHeight="false" outlineLevel="0" collapsed="false">
      <c r="B43" s="63" t="s">
        <v>398</v>
      </c>
    </row>
    <row r="46" customFormat="false" ht="18" hidden="false" customHeight="true" outlineLevel="0" collapsed="false">
      <c r="A46" s="9" t="s">
        <v>399</v>
      </c>
      <c r="B46" s="9"/>
      <c r="C46" s="9"/>
      <c r="D46" s="9"/>
      <c r="E46" s="9"/>
      <c r="F46" s="9"/>
      <c r="G46" s="9"/>
      <c r="H46" s="9"/>
      <c r="I46" s="9"/>
      <c r="J46" s="9"/>
    </row>
    <row r="48" customFormat="false" ht="15" hidden="false" customHeight="false" outlineLevel="0" collapsed="false">
      <c r="A48" s="35" t="s">
        <v>400</v>
      </c>
      <c r="B48" s="36"/>
      <c r="C48" s="36"/>
      <c r="D48" s="36"/>
      <c r="E48" s="36"/>
      <c r="F48" s="36"/>
      <c r="G48" s="36"/>
      <c r="H48" s="36"/>
      <c r="I48" s="36"/>
      <c r="J48" s="36"/>
    </row>
    <row r="49" customFormat="false" ht="15" hidden="false" customHeight="false" outlineLevel="0" collapsed="false">
      <c r="B49" s="24" t="s">
        <v>401</v>
      </c>
      <c r="D49" s="23" t="n">
        <f aca="false">Historico!D54</f>
        <v>1110</v>
      </c>
      <c r="E49" s="23" t="n">
        <f aca="false">Historico!E54</f>
        <v>2439</v>
      </c>
      <c r="F49" s="23" t="n">
        <f aca="false">Historico!F54</f>
        <v>2477</v>
      </c>
      <c r="G49" s="23" t="n">
        <f aca="false">Historico!G54</f>
        <v>2779</v>
      </c>
      <c r="H49" s="23" t="n">
        <f aca="false">Historico!H54</f>
        <v>3399</v>
      </c>
      <c r="I49" s="23" t="n">
        <f aca="false">Historico!I54</f>
        <v>3850</v>
      </c>
    </row>
    <row r="50" customFormat="false" ht="15" hidden="false" customHeight="false" outlineLevel="0" collapsed="false">
      <c r="B50" s="24" t="s">
        <v>269</v>
      </c>
      <c r="D50" s="23" t="n">
        <f aca="false">Historico!D55</f>
        <v>235</v>
      </c>
      <c r="E50" s="23" t="n">
        <f aca="false">Historico!E55</f>
        <v>396</v>
      </c>
      <c r="F50" s="23" t="n">
        <f aca="false">Historico!F55</f>
        <v>622</v>
      </c>
      <c r="G50" s="23" t="n">
        <f aca="false">Historico!G55</f>
        <v>712</v>
      </c>
      <c r="H50" s="23" t="n">
        <f aca="false">Historico!H55</f>
        <v>858</v>
      </c>
      <c r="I50" s="23" t="n">
        <f aca="false">Historico!I55</f>
        <v>1013</v>
      </c>
    </row>
    <row r="51" customFormat="false" ht="15" hidden="false" customHeight="false" outlineLevel="0" collapsed="false">
      <c r="B51" s="24" t="s">
        <v>270</v>
      </c>
      <c r="D51" s="23" t="n">
        <f aca="false">Historico!D56</f>
        <v>1243</v>
      </c>
      <c r="E51" s="23" t="n">
        <f aca="false">Historico!E56</f>
        <v>1442</v>
      </c>
      <c r="F51" s="23" t="n">
        <f aca="false">Historico!F56</f>
        <v>2049</v>
      </c>
      <c r="G51" s="23" t="n">
        <f aca="false">Historico!G56</f>
        <v>2528</v>
      </c>
      <c r="H51" s="23" t="n">
        <f aca="false">Historico!H56</f>
        <v>2754</v>
      </c>
      <c r="I51" s="23" t="n">
        <f aca="false">Historico!I56</f>
        <v>3050</v>
      </c>
    </row>
    <row r="52" customFormat="false" ht="15" hidden="false" customHeight="false" outlineLevel="0" collapsed="false">
      <c r="B52" s="24" t="s">
        <v>271</v>
      </c>
      <c r="D52" s="23" t="n">
        <f aca="false">Historico!D57</f>
        <v>2812</v>
      </c>
      <c r="E52" s="23" t="n">
        <f aca="false">Historico!E57</f>
        <v>2823</v>
      </c>
      <c r="F52" s="23" t="n">
        <f aca="false">Historico!F57</f>
        <v>3370</v>
      </c>
      <c r="G52" s="23" t="n">
        <f aca="false">Historico!G57</f>
        <v>3736</v>
      </c>
      <c r="H52" s="23" t="n">
        <f aca="false">Historico!H57</f>
        <v>4102</v>
      </c>
      <c r="I52" s="23" t="n">
        <f aca="false">Historico!I57</f>
        <v>4400</v>
      </c>
    </row>
    <row r="54" customFormat="false" ht="15" hidden="false" customHeight="false" outlineLevel="0" collapsed="false">
      <c r="A54" s="35" t="s">
        <v>402</v>
      </c>
      <c r="B54" s="36"/>
      <c r="C54" s="36"/>
      <c r="D54" s="36"/>
      <c r="E54" s="36"/>
      <c r="F54" s="36"/>
      <c r="G54" s="36"/>
      <c r="H54" s="36"/>
      <c r="I54" s="36"/>
      <c r="J54" s="36"/>
    </row>
    <row r="55" customFormat="false" ht="15" hidden="false" customHeight="false" outlineLevel="0" collapsed="false">
      <c r="B55" s="2" t="s">
        <v>403</v>
      </c>
      <c r="D55" s="82" t="n">
        <f aca="false">D49/Historico!D7*365</f>
        <v>36.3722057635335</v>
      </c>
      <c r="E55" s="82" t="n">
        <f aca="false">E49/Historico!E7*365</f>
        <v>51.0017187052421</v>
      </c>
      <c r="F55" s="82" t="n">
        <f aca="false">F49/Historico!F7*365</f>
        <v>28.3622988361515</v>
      </c>
      <c r="G55" s="82" t="n">
        <f aca="false">G49/Historico!G7*365</f>
        <v>27.207827043266</v>
      </c>
      <c r="H55" s="82" t="n">
        <f aca="false">H49/Historico!H7*365</f>
        <v>28.2103551775888</v>
      </c>
      <c r="I55" s="82" t="n">
        <f aca="false">I49/Historico!I7*365</f>
        <v>27.0152065670838</v>
      </c>
    </row>
    <row r="56" customFormat="false" ht="15" hidden="false" customHeight="false" outlineLevel="0" collapsed="false">
      <c r="B56" s="2" t="s">
        <v>404</v>
      </c>
      <c r="D56" s="82" t="n">
        <f aca="false">D50/Historico!D10*365</f>
        <v>16.6424136592938</v>
      </c>
      <c r="E56" s="82" t="n">
        <f aca="false">E50/Historico!E10*365</f>
        <v>15.4571703561116</v>
      </c>
      <c r="F56" s="82" t="n">
        <f aca="false">F50/Historico!F10*365</f>
        <v>12.109558352891</v>
      </c>
      <c r="G56" s="82" t="n">
        <f aca="false">G50/Historico!G10*365</f>
        <v>12.0801375912239</v>
      </c>
      <c r="H56" s="82" t="n">
        <f aca="false">H50/Historico!H10*365</f>
        <v>11.8204121687929</v>
      </c>
      <c r="I56" s="82" t="n">
        <f aca="false">I50/Historico!I10*365</f>
        <v>11.8174699565329</v>
      </c>
    </row>
    <row r="57" customFormat="false" ht="15" hidden="false" customHeight="false" outlineLevel="0" collapsed="false">
      <c r="B57" s="2" t="s">
        <v>405</v>
      </c>
      <c r="D57" s="21" t="n">
        <f aca="false">D51+D52</f>
        <v>4055</v>
      </c>
      <c r="E57" s="21" t="n">
        <f aca="false">E51+E52</f>
        <v>4265</v>
      </c>
      <c r="F57" s="21" t="n">
        <f aca="false">F51+F52</f>
        <v>5419</v>
      </c>
      <c r="G57" s="21" t="n">
        <f aca="false">G51+G52</f>
        <v>6264</v>
      </c>
      <c r="H57" s="21" t="n">
        <f aca="false">H51+H52</f>
        <v>6856</v>
      </c>
      <c r="I57" s="21" t="n">
        <f aca="false">I51+I52</f>
        <v>7450</v>
      </c>
    </row>
    <row r="58" customFormat="false" ht="15" hidden="false" customHeight="false" outlineLevel="0" collapsed="false">
      <c r="B58" s="24" t="s">
        <v>406</v>
      </c>
      <c r="D58" s="31" t="n">
        <f aca="false">D57/Historico!D7</f>
        <v>0.364036268964898</v>
      </c>
      <c r="E58" s="31" t="n">
        <f aca="false">E57/Historico!E7</f>
        <v>0.244342595244916</v>
      </c>
      <c r="F58" s="31" t="n">
        <f aca="false">F57/Historico!F7</f>
        <v>0.16999717664774</v>
      </c>
      <c r="G58" s="31" t="n">
        <f aca="false">G57/Historico!G7</f>
        <v>0.168021244065342</v>
      </c>
      <c r="H58" s="31" t="n">
        <f aca="false">H57/Historico!H7</f>
        <v>0.155896129883123</v>
      </c>
      <c r="I58" s="31" t="n">
        <f aca="false">I57/Historico!I7</f>
        <v>0.143222408058904</v>
      </c>
    </row>
    <row r="59" customFormat="false" ht="15" hidden="false" customHeight="false" outlineLevel="0" collapsed="false">
      <c r="B59" s="24" t="s">
        <v>407</v>
      </c>
      <c r="D59" s="31" t="n">
        <f aca="false">D57/Historico!D30</f>
        <v>0.152713441042443</v>
      </c>
      <c r="E59" s="31" t="n">
        <f aca="false">E57/Historico!E30</f>
        <v>0.110169710433188</v>
      </c>
      <c r="F59" s="31" t="n">
        <f aca="false">F57/Historico!F30</f>
        <v>0.109102256940949</v>
      </c>
      <c r="G59" s="31" t="n">
        <f aca="false">G57/Historico!G30</f>
        <v>0.0963766443572583</v>
      </c>
      <c r="H59" s="31" t="n">
        <f aca="false">H57/Historico!H30</f>
        <v>0.0838521091447232</v>
      </c>
      <c r="I59" s="31" t="n">
        <f aca="false">I57/Historico!I30</f>
        <v>0.0764126075674123</v>
      </c>
    </row>
    <row r="61" customFormat="false" ht="15" hidden="false" customHeight="false" outlineLevel="0" collapsed="false">
      <c r="A61" s="35" t="s">
        <v>408</v>
      </c>
      <c r="B61" s="36"/>
      <c r="C61" s="36"/>
      <c r="D61" s="36"/>
      <c r="E61" s="36"/>
      <c r="F61" s="36"/>
      <c r="G61" s="36"/>
      <c r="H61" s="36"/>
      <c r="I61" s="36"/>
      <c r="J61" s="36"/>
    </row>
    <row r="62" customFormat="false" ht="15" hidden="false" customHeight="false" outlineLevel="0" collapsed="false">
      <c r="B62" s="63" t="s">
        <v>409</v>
      </c>
    </row>
    <row r="63" customFormat="false" ht="15" hidden="false" customHeight="false" outlineLevel="0" collapsed="false">
      <c r="B63" s="63" t="s">
        <v>410</v>
      </c>
    </row>
    <row r="64" customFormat="false" ht="15" hidden="false" customHeight="false" outlineLevel="0" collapsed="false">
      <c r="B64" s="2" t="s">
        <v>411</v>
      </c>
      <c r="D64" s="69" t="n">
        <f aca="false">D49-D50-D57</f>
        <v>-3180</v>
      </c>
      <c r="E64" s="69" t="n">
        <f aca="false">E49-E50-E57</f>
        <v>-2222</v>
      </c>
      <c r="F64" s="69" t="n">
        <f aca="false">F49-F50-F57</f>
        <v>-3564</v>
      </c>
      <c r="G64" s="69" t="n">
        <f aca="false">G49-G50-G57</f>
        <v>-4197</v>
      </c>
      <c r="H64" s="69" t="n">
        <f aca="false">H49-H50-H57</f>
        <v>-4315</v>
      </c>
      <c r="I64" s="69" t="n">
        <f aca="false">I49-I50-I57</f>
        <v>-4613</v>
      </c>
    </row>
    <row r="65" customFormat="false" ht="15" hidden="false" customHeight="false" outlineLevel="0" collapsed="false">
      <c r="B65" s="24" t="s">
        <v>412</v>
      </c>
      <c r="D65" s="31" t="n">
        <f aca="false">D64/Historico!D7</f>
        <v>-0.285483436574199</v>
      </c>
      <c r="E65" s="31" t="n">
        <f aca="false">E64/Historico!E7</f>
        <v>-0.127298768261243</v>
      </c>
      <c r="F65" s="31" t="n">
        <f aca="false">F64/Historico!F7</f>
        <v>-0.111804749505913</v>
      </c>
      <c r="G65" s="31" t="n">
        <f aca="false">G64/Historico!G7</f>
        <v>-0.112577452321558</v>
      </c>
      <c r="H65" s="31" t="n">
        <f aca="false">H64/Historico!H7</f>
        <v>-0.098117240438401</v>
      </c>
      <c r="I65" s="31" t="n">
        <f aca="false">I64/Historico!I7</f>
        <v>-0.0886825460907011</v>
      </c>
    </row>
    <row r="66" customFormat="false" ht="15" hidden="false" customHeight="false" outlineLevel="0" collapsed="false">
      <c r="B66" s="2" t="s">
        <v>413</v>
      </c>
      <c r="E66" s="21" t="n">
        <f aca="false">E64-D64</f>
        <v>958</v>
      </c>
      <c r="F66" s="21" t="n">
        <f aca="false">F64-E64</f>
        <v>-1342</v>
      </c>
      <c r="G66" s="21" t="n">
        <f aca="false">G64-F64</f>
        <v>-633</v>
      </c>
      <c r="H66" s="21" t="n">
        <f aca="false">H64-G64</f>
        <v>-118</v>
      </c>
      <c r="I66" s="21" t="n">
        <f aca="false">I64-H64</f>
        <v>-298</v>
      </c>
    </row>
    <row r="67" customFormat="false" ht="15" hidden="false" customHeight="false" outlineLevel="0" collapsed="false">
      <c r="B67" s="24" t="s">
        <v>414</v>
      </c>
      <c r="E67" s="31" t="n">
        <f aca="false">IFERROR(E66/(Historico!E7-Historico!D7),0)</f>
        <v>0.151678277390754</v>
      </c>
      <c r="F67" s="31" t="n">
        <f aca="false">IFERROR(F66/(Historico!F7-Historico!E7),0)</f>
        <v>-0.093052281236999</v>
      </c>
      <c r="G67" s="31" t="n">
        <f aca="false">IFERROR(G66/(Historico!G7-Historico!F7),0)</f>
        <v>-0.117135455218357</v>
      </c>
      <c r="H67" s="31" t="n">
        <f aca="false">IFERROR(H66/(Historico!H7-Historico!G7),0)</f>
        <v>-0.0176198297745259</v>
      </c>
      <c r="I67" s="31" t="n">
        <f aca="false">IFERROR(I66/(Historico!I7-Historico!H7),0)</f>
        <v>-0.0370692872247792</v>
      </c>
    </row>
    <row r="69" customFormat="false" ht="18" hidden="false" customHeight="true" outlineLevel="0" collapsed="false">
      <c r="A69" s="9" t="s">
        <v>415</v>
      </c>
      <c r="B69" s="9"/>
      <c r="C69" s="9"/>
      <c r="D69" s="9"/>
      <c r="E69" s="9"/>
      <c r="F69" s="9"/>
      <c r="G69" s="9"/>
      <c r="H69" s="9"/>
      <c r="I69" s="9"/>
      <c r="J69" s="9"/>
    </row>
    <row r="70" customFormat="false" ht="15" hidden="false" customHeight="false" outlineLevel="0" collapsed="false">
      <c r="B70" s="63" t="s">
        <v>416</v>
      </c>
    </row>
    <row r="72" customFormat="false" ht="15" hidden="false" customHeight="false" outlineLevel="0" collapsed="false">
      <c r="A72" s="35" t="s">
        <v>417</v>
      </c>
      <c r="B72" s="36"/>
      <c r="C72" s="36"/>
      <c r="D72" s="36"/>
      <c r="E72" s="36"/>
      <c r="F72" s="36"/>
      <c r="G72" s="36"/>
      <c r="H72" s="36"/>
      <c r="I72" s="36"/>
      <c r="J72" s="36"/>
    </row>
    <row r="73" customFormat="false" ht="15" hidden="false" customHeight="false" outlineLevel="0" collapsed="false">
      <c r="B73" s="2" t="s">
        <v>418</v>
      </c>
      <c r="D73" s="18" t="n">
        <v>0</v>
      </c>
      <c r="E73" s="18" t="n">
        <v>0</v>
      </c>
      <c r="F73" s="18" t="n">
        <v>0</v>
      </c>
      <c r="G73" s="18" t="n">
        <v>0</v>
      </c>
      <c r="H73" s="18" t="n">
        <v>0</v>
      </c>
      <c r="I73" s="18" t="n">
        <v>0</v>
      </c>
    </row>
    <row r="74" customFormat="false" ht="15" hidden="false" customHeight="false" outlineLevel="0" collapsed="false">
      <c r="B74" s="24" t="s">
        <v>419</v>
      </c>
      <c r="D74" s="23" t="n">
        <f aca="false">Historico!D10</f>
        <v>5154</v>
      </c>
      <c r="E74" s="23" t="n">
        <f aca="false">Historico!E10</f>
        <v>9351</v>
      </c>
      <c r="F74" s="23" t="n">
        <f aca="false">Historico!F10</f>
        <v>18748</v>
      </c>
      <c r="G74" s="23" t="n">
        <f aca="false">Historico!G10</f>
        <v>21513</v>
      </c>
      <c r="H74" s="23" t="n">
        <f aca="false">Historico!H10</f>
        <v>26494</v>
      </c>
      <c r="I74" s="23" t="n">
        <f aca="false">Historico!I10</f>
        <v>31288</v>
      </c>
    </row>
    <row r="76" customFormat="false" ht="15" hidden="false" customHeight="false" outlineLevel="0" collapsed="false">
      <c r="A76" s="35" t="s">
        <v>420</v>
      </c>
      <c r="B76" s="36"/>
      <c r="C76" s="36"/>
      <c r="D76" s="36"/>
      <c r="E76" s="36"/>
      <c r="F76" s="36"/>
      <c r="G76" s="36"/>
      <c r="H76" s="36"/>
      <c r="I76" s="36"/>
      <c r="J76" s="36"/>
    </row>
    <row r="77" customFormat="false" ht="15" hidden="false" customHeight="false" outlineLevel="0" collapsed="false">
      <c r="B77" s="2" t="s">
        <v>421</v>
      </c>
      <c r="D77" s="82" t="n">
        <f aca="false">IFERROR(D73/D74*365,0)</f>
        <v>0</v>
      </c>
      <c r="E77" s="82" t="n">
        <f aca="false">IFERROR(E73/E74*365,0)</f>
        <v>0</v>
      </c>
      <c r="F77" s="82" t="n">
        <f aca="false">IFERROR(F73/F74*365,0)</f>
        <v>0</v>
      </c>
      <c r="G77" s="82" t="n">
        <f aca="false">IFERROR(G73/G74*365,0)</f>
        <v>0</v>
      </c>
      <c r="H77" s="82" t="n">
        <f aca="false">IFERROR(H73/H74*365,0)</f>
        <v>0</v>
      </c>
      <c r="I77" s="82" t="n">
        <f aca="false">IFERROR(I73/I74*365,0)</f>
        <v>0</v>
      </c>
    </row>
    <row r="78" customFormat="false" ht="15" hidden="false" customHeight="false" outlineLevel="0" collapsed="false">
      <c r="B78" s="2" t="s">
        <v>422</v>
      </c>
      <c r="D78" s="83" t="str">
        <f aca="false">IF(D73&gt;0,D74/D73,"N/A")</f>
        <v>N/A</v>
      </c>
      <c r="E78" s="83" t="str">
        <f aca="false">IF(E73&gt;0,E74/E73,"N/A")</f>
        <v>N/A</v>
      </c>
      <c r="F78" s="83" t="str">
        <f aca="false">IF(F73&gt;0,F74/F73,"N/A")</f>
        <v>N/A</v>
      </c>
      <c r="G78" s="83" t="str">
        <f aca="false">IF(G73&gt;0,G74/G73,"N/A")</f>
        <v>N/A</v>
      </c>
      <c r="H78" s="83" t="str">
        <f aca="false">IF(H73&gt;0,H74/H73,"N/A")</f>
        <v>N/A</v>
      </c>
      <c r="I78" s="83" t="str">
        <f aca="false">IF(I73&gt;0,I74/I73,"N/A")</f>
        <v>N/A</v>
      </c>
    </row>
    <row r="80" customFormat="false" ht="15" hidden="false" customHeight="false" outlineLevel="0" collapsed="false">
      <c r="A80" s="35" t="s">
        <v>423</v>
      </c>
      <c r="B80" s="36"/>
      <c r="C80" s="36"/>
      <c r="D80" s="36"/>
      <c r="E80" s="36"/>
      <c r="F80" s="36"/>
      <c r="G80" s="36"/>
      <c r="H80" s="36"/>
      <c r="I80" s="36"/>
      <c r="J80" s="36"/>
    </row>
    <row r="81" customFormat="false" ht="15" hidden="false" customHeight="false" outlineLevel="0" collapsed="false">
      <c r="B81" s="2" t="s">
        <v>424</v>
      </c>
      <c r="D81" s="83" t="n">
        <f aca="false">Historico!D7/D49</f>
        <v>10.0351351351351</v>
      </c>
      <c r="E81" s="83" t="n">
        <f aca="false">Historico!E7/E49</f>
        <v>7.15662156621566</v>
      </c>
      <c r="F81" s="83" t="n">
        <f aca="false">Historico!F7/F49</f>
        <v>12.869196608801</v>
      </c>
      <c r="G81" s="83" t="n">
        <f aca="false">Historico!G7/G49</f>
        <v>13.4152572867938</v>
      </c>
      <c r="H81" s="83" t="n">
        <f aca="false">Historico!H7/H49</f>
        <v>12.9385113268608</v>
      </c>
      <c r="I81" s="83" t="n">
        <f aca="false">Historico!I7/I49</f>
        <v>13.5109090909091</v>
      </c>
    </row>
    <row r="82" customFormat="false" ht="15" hidden="false" customHeight="false" outlineLevel="0" collapsed="false">
      <c r="B82" s="2" t="s">
        <v>425</v>
      </c>
      <c r="D82" s="83" t="n">
        <f aca="false">Historico!D10/D50</f>
        <v>21.931914893617</v>
      </c>
      <c r="E82" s="83" t="n">
        <f aca="false">Historico!E10/E50</f>
        <v>23.6136363636364</v>
      </c>
      <c r="F82" s="83" t="n">
        <f aca="false">Historico!F10/F50</f>
        <v>30.1414790996785</v>
      </c>
      <c r="G82" s="83" t="n">
        <f aca="false">Historico!G10/G50</f>
        <v>30.2148876404494</v>
      </c>
      <c r="H82" s="83" t="n">
        <f aca="false">Historico!H10/H50</f>
        <v>30.8787878787879</v>
      </c>
      <c r="I82" s="83" t="n">
        <f aca="false">Historico!I10/I50</f>
        <v>30.8864758144126</v>
      </c>
    </row>
    <row r="83" customFormat="false" ht="15" hidden="false" customHeight="false" outlineLevel="0" collapsed="false">
      <c r="B83" s="2" t="s">
        <v>426</v>
      </c>
      <c r="D83" s="80" t="n">
        <f aca="false">Historico!D7/Historico!D49</f>
        <v>0.334987369180801</v>
      </c>
      <c r="E83" s="80" t="n">
        <f aca="false">Historico!E7/Historico!E49</f>
        <v>0.450172796203642</v>
      </c>
      <c r="F83" s="80" t="n">
        <f aca="false">Historico!F7/Historico!F49</f>
        <v>0.992774611479647</v>
      </c>
      <c r="G83" s="80" t="n">
        <f aca="false">Historico!G7/Historico!G49</f>
        <v>0.963358226310757</v>
      </c>
      <c r="H83" s="80" t="n">
        <f aca="false">Historico!H7/Historico!H49</f>
        <v>0.858207790180314</v>
      </c>
      <c r="I83" s="80" t="n">
        <f aca="false">Historico!I7/Historico!I49</f>
        <v>0.84167179055694</v>
      </c>
    </row>
    <row r="85" customFormat="false" ht="15" hidden="false" customHeight="false" outlineLevel="0" collapsed="false">
      <c r="A85" s="35" t="s">
        <v>427</v>
      </c>
      <c r="B85" s="36"/>
      <c r="C85" s="36"/>
      <c r="D85" s="36"/>
      <c r="E85" s="36"/>
      <c r="F85" s="36"/>
      <c r="G85" s="36"/>
      <c r="H85" s="36"/>
      <c r="I85" s="36"/>
      <c r="J85" s="36"/>
    </row>
    <row r="86" customFormat="false" ht="15" hidden="false" customHeight="false" outlineLevel="0" collapsed="false">
      <c r="B86" s="2" t="s">
        <v>428</v>
      </c>
      <c r="D86" s="82" t="n">
        <f aca="false">D77+D55</f>
        <v>36.3722057635335</v>
      </c>
      <c r="E86" s="82" t="n">
        <f aca="false">E77+E55</f>
        <v>51.0017187052421</v>
      </c>
      <c r="F86" s="82" t="n">
        <f aca="false">F77+F55</f>
        <v>28.3622988361515</v>
      </c>
      <c r="G86" s="82" t="n">
        <f aca="false">G77+G55</f>
        <v>27.207827043266</v>
      </c>
      <c r="H86" s="82" t="n">
        <f aca="false">H77+H55</f>
        <v>28.2103551775888</v>
      </c>
      <c r="I86" s="82" t="n">
        <f aca="false">I77+I55</f>
        <v>27.0152065670838</v>
      </c>
    </row>
    <row r="87" customFormat="false" ht="15" hidden="false" customHeight="false" outlineLevel="0" collapsed="false">
      <c r="B87" s="2" t="s">
        <v>429</v>
      </c>
      <c r="D87" s="84" t="n">
        <f aca="false">D77+D55-D56</f>
        <v>19.7297921042398</v>
      </c>
      <c r="E87" s="84" t="n">
        <f aca="false">E77+E55-E56</f>
        <v>35.5445483491304</v>
      </c>
      <c r="F87" s="84" t="n">
        <f aca="false">F77+F55-F56</f>
        <v>16.2527404832605</v>
      </c>
      <c r="G87" s="84" t="n">
        <f aca="false">G77+G55-G56</f>
        <v>15.1276894520421</v>
      </c>
      <c r="H87" s="84" t="n">
        <f aca="false">H77+H55-H56</f>
        <v>16.3899430087959</v>
      </c>
      <c r="I87" s="84" t="n">
        <f aca="false">I77+I55-I56</f>
        <v>15.197736610551</v>
      </c>
    </row>
    <row r="89" customFormat="false" ht="15" hidden="false" customHeight="false" outlineLevel="0" collapsed="false">
      <c r="B89" s="2" t="s">
        <v>430</v>
      </c>
      <c r="D89" s="82" t="n">
        <f aca="false">D57/Historico!D30*365</f>
        <v>55.7404059804918</v>
      </c>
      <c r="E89" s="82" t="n">
        <f aca="false">E57/Historico!E30*365</f>
        <v>40.2119443081136</v>
      </c>
      <c r="F89" s="82" t="n">
        <f aca="false">F57/Historico!F30*365</f>
        <v>39.8223237834464</v>
      </c>
      <c r="G89" s="82" t="n">
        <f aca="false">G57/Historico!G30*365</f>
        <v>35.1774751903993</v>
      </c>
      <c r="H89" s="82" t="n">
        <f aca="false">H57/Historico!H30*365</f>
        <v>30.606019837824</v>
      </c>
      <c r="I89" s="82" t="n">
        <f aca="false">I57/Historico!I30*365</f>
        <v>27.8906017621055</v>
      </c>
    </row>
    <row r="90" customFormat="false" ht="15" hidden="false" customHeight="false" outlineLevel="0" collapsed="false">
      <c r="B90" s="2" t="s">
        <v>431</v>
      </c>
      <c r="D90" s="84" t="n">
        <f aca="false">D87-D89</f>
        <v>-36.0106138762521</v>
      </c>
      <c r="E90" s="84" t="n">
        <f aca="false">E87-E89</f>
        <v>-4.66739595898316</v>
      </c>
      <c r="F90" s="84" t="n">
        <f aca="false">F87-F89</f>
        <v>-23.5695833001859</v>
      </c>
      <c r="G90" s="84" t="n">
        <f aca="false">G87-G89</f>
        <v>-20.0497857383572</v>
      </c>
      <c r="H90" s="84" t="n">
        <f aca="false">H87-H89</f>
        <v>-14.2160768290281</v>
      </c>
      <c r="I90" s="84" t="n">
        <f aca="false">I87-I89</f>
        <v>-12.6928651515545</v>
      </c>
    </row>
    <row r="92" customFormat="false" ht="15" hidden="false" customHeight="false" outlineLevel="0" collapsed="false">
      <c r="B92" s="2" t="s">
        <v>432</v>
      </c>
    </row>
    <row r="93" customFormat="false" ht="15" hidden="false" customHeight="false" outlineLevel="0" collapsed="false">
      <c r="B93" s="63" t="s">
        <v>433</v>
      </c>
    </row>
    <row r="94" customFormat="false" ht="15" hidden="false" customHeight="false" outlineLevel="0" collapsed="false">
      <c r="B94" s="63" t="s">
        <v>434</v>
      </c>
    </row>
    <row r="95" customFormat="false" ht="15" hidden="false" customHeight="false" outlineLevel="0" collapsed="false">
      <c r="B95" s="63" t="s">
        <v>435</v>
      </c>
    </row>
    <row r="96" customFormat="false" ht="15" hidden="false" customHeight="false" outlineLevel="0" collapsed="false">
      <c r="B96" s="63" t="s">
        <v>436</v>
      </c>
    </row>
    <row r="98" customFormat="false" ht="18" hidden="false" customHeight="true" outlineLevel="0" collapsed="false">
      <c r="A98" s="9" t="s">
        <v>437</v>
      </c>
      <c r="B98" s="9"/>
      <c r="C98" s="9"/>
      <c r="D98" s="9"/>
      <c r="E98" s="9"/>
      <c r="F98" s="9"/>
      <c r="G98" s="9"/>
      <c r="H98" s="9"/>
      <c r="I98" s="9"/>
      <c r="J98" s="9"/>
    </row>
    <row r="100" customFormat="false" ht="15" hidden="false" customHeight="false" outlineLevel="0" collapsed="false">
      <c r="B100" s="44" t="s">
        <v>438</v>
      </c>
      <c r="C100" s="44"/>
      <c r="D100" s="44"/>
      <c r="E100" s="44"/>
      <c r="F100" s="44"/>
      <c r="G100" s="44"/>
      <c r="H100" s="44"/>
      <c r="I100" s="44"/>
      <c r="J100" s="44"/>
    </row>
    <row r="101" customFormat="false" ht="15" hidden="false" customHeight="false" outlineLevel="0" collapsed="false">
      <c r="B101" s="44" t="s">
        <v>439</v>
      </c>
      <c r="C101" s="44"/>
      <c r="D101" s="44"/>
      <c r="E101" s="44"/>
      <c r="F101" s="44"/>
      <c r="G101" s="44"/>
      <c r="H101" s="44"/>
      <c r="I101" s="44"/>
      <c r="J101" s="44"/>
    </row>
    <row r="102" customFormat="false" ht="15" hidden="false" customHeight="false" outlineLevel="0" collapsed="false">
      <c r="B102" s="44" t="s">
        <v>440</v>
      </c>
      <c r="C102" s="44"/>
      <c r="D102" s="44"/>
      <c r="E102" s="44"/>
      <c r="F102" s="44"/>
      <c r="G102" s="44"/>
      <c r="H102" s="44"/>
      <c r="I102" s="44"/>
      <c r="J102" s="44"/>
    </row>
    <row r="103" customFormat="false" ht="15" hidden="false" customHeight="false" outlineLevel="0" collapsed="false">
      <c r="B103" s="44" t="s">
        <v>441</v>
      </c>
      <c r="C103" s="44"/>
      <c r="D103" s="44"/>
      <c r="E103" s="44"/>
      <c r="F103" s="44"/>
      <c r="G103" s="44"/>
      <c r="H103" s="44"/>
      <c r="I103" s="44"/>
      <c r="J103" s="44"/>
    </row>
    <row r="104" customFormat="false" ht="15" hidden="false" customHeight="false" outlineLevel="0" collapsed="false">
      <c r="B104" s="44" t="s">
        <v>442</v>
      </c>
      <c r="C104" s="44"/>
      <c r="D104" s="44"/>
      <c r="E104" s="44"/>
      <c r="F104" s="44"/>
      <c r="G104" s="44"/>
      <c r="H104" s="44"/>
      <c r="I104" s="44"/>
      <c r="J104" s="44"/>
    </row>
    <row r="105" customFormat="false" ht="15" hidden="false" customHeight="false" outlineLevel="0" collapsed="false">
      <c r="B105" s="44" t="s">
        <v>443</v>
      </c>
      <c r="C105" s="44"/>
      <c r="D105" s="44"/>
      <c r="E105" s="44"/>
      <c r="F105" s="44"/>
      <c r="G105" s="44"/>
      <c r="H105" s="44"/>
      <c r="I105" s="44"/>
      <c r="J105" s="44"/>
    </row>
    <row r="106" customFormat="false" ht="15" hidden="false" customHeight="false" outlineLevel="0" collapsed="false">
      <c r="B106" s="44" t="s">
        <v>444</v>
      </c>
      <c r="C106" s="44"/>
      <c r="D106" s="44"/>
      <c r="E106" s="44"/>
      <c r="F106" s="44"/>
      <c r="G106" s="44"/>
      <c r="H106" s="44"/>
      <c r="I106" s="44"/>
      <c r="J106" s="44"/>
    </row>
    <row r="107" customFormat="false" ht="15" hidden="false" customHeight="false" outlineLevel="0" collapsed="false">
      <c r="B107" s="44" t="s">
        <v>445</v>
      </c>
      <c r="C107" s="44"/>
      <c r="D107" s="44"/>
      <c r="E107" s="44"/>
      <c r="F107" s="44"/>
      <c r="G107" s="44"/>
      <c r="H107" s="44"/>
      <c r="I107" s="44"/>
      <c r="J107" s="44"/>
    </row>
    <row r="110" customFormat="false" ht="15" hidden="false" customHeight="false" outlineLevel="0" collapsed="false">
      <c r="B110" s="45" t="s">
        <v>163</v>
      </c>
      <c r="D110" s="46" t="s">
        <v>164</v>
      </c>
      <c r="E110" s="46" t="s">
        <v>72</v>
      </c>
      <c r="F110" s="46" t="s">
        <v>73</v>
      </c>
      <c r="G110" s="46" t="s">
        <v>74</v>
      </c>
      <c r="H110" s="46" t="s">
        <v>75</v>
      </c>
      <c r="I110" s="46" t="s">
        <v>76</v>
      </c>
    </row>
    <row r="111" customFormat="false" ht="15" hidden="false" customHeight="false" outlineLevel="0" collapsed="false">
      <c r="C111" s="2" t="s">
        <v>171</v>
      </c>
      <c r="D111" s="47" t="n">
        <f aca="false">D25</f>
        <v>-0.551769117886842</v>
      </c>
      <c r="E111" s="47" t="n">
        <f aca="false">E25</f>
        <v>-0.0371201915880856</v>
      </c>
      <c r="F111" s="47" t="n">
        <f aca="false">F25</f>
        <v>-0.838700798238371</v>
      </c>
      <c r="G111" s="47" t="n">
        <f aca="false">G25</f>
        <v>0.203023293345527</v>
      </c>
      <c r="H111" s="47" t="n">
        <f aca="false">H25</f>
        <v>0.600847380132289</v>
      </c>
      <c r="I111" s="47" t="n">
        <f aca="false">I25</f>
        <v>0.413712216300747</v>
      </c>
    </row>
    <row r="112" customFormat="false" ht="15" hidden="false" customHeight="false" outlineLevel="0" collapsed="false">
      <c r="C112" s="2" t="s">
        <v>172</v>
      </c>
      <c r="D112" s="47" t="n">
        <f aca="false">D37</f>
        <v>-0.305037394451146</v>
      </c>
      <c r="E112" s="47" t="n">
        <f aca="false">E37</f>
        <v>-0.187250925984054</v>
      </c>
      <c r="F112" s="47" t="n">
        <f aca="false">F37</f>
        <v>-0.127608501518128</v>
      </c>
      <c r="G112" s="47" t="n">
        <f aca="false">G37</f>
        <v>0.0559266197274078</v>
      </c>
      <c r="H112" s="47" t="n">
        <f aca="false">H37</f>
        <v>0.0869808764940239</v>
      </c>
      <c r="I112" s="47" t="n">
        <f aca="false">I37</f>
        <v>0.145033245347322</v>
      </c>
    </row>
    <row r="113" customFormat="false" ht="15" hidden="false" customHeight="false" outlineLevel="0" collapsed="false">
      <c r="C113" s="2" t="s">
        <v>446</v>
      </c>
      <c r="D113" s="47" t="n">
        <f aca="false">D21</f>
        <v>-0.43657419876111</v>
      </c>
      <c r="E113" s="47" t="n">
        <f aca="false">E21</f>
        <v>-0.219077628186766</v>
      </c>
      <c r="F113" s="47" t="n">
        <f aca="false">F21</f>
        <v>-0.0574709037864291</v>
      </c>
      <c r="G113" s="47" t="n">
        <f aca="false">G21</f>
        <v>0.0297738794560232</v>
      </c>
      <c r="H113" s="47" t="n">
        <f aca="false">H21</f>
        <v>0.063645459093183</v>
      </c>
      <c r="I113" s="47" t="n">
        <f aca="false">I21</f>
        <v>0.106984255147356</v>
      </c>
    </row>
    <row r="114" customFormat="false" ht="15" hidden="false" customHeight="false" outlineLevel="0" collapsed="false">
      <c r="C114" s="2" t="s">
        <v>447</v>
      </c>
      <c r="D114" s="47" t="n">
        <f aca="false">D22</f>
        <v>0.334987369180801</v>
      </c>
      <c r="E114" s="47" t="n">
        <f aca="false">E22</f>
        <v>0.484686085580207</v>
      </c>
      <c r="F114" s="47" t="n">
        <f aca="false">F22</f>
        <v>0.899425814370159</v>
      </c>
      <c r="G114" s="47" t="n">
        <f aca="false">G22</f>
        <v>1.05301660829285</v>
      </c>
      <c r="H114" s="47" t="n">
        <f aca="false">H22</f>
        <v>0.977908230768376</v>
      </c>
      <c r="I114" s="47" t="n">
        <f aca="false">I22</f>
        <v>0.920280239902341</v>
      </c>
    </row>
    <row r="115" customFormat="false" ht="15" hidden="false" customHeight="false" outlineLevel="0" collapsed="false">
      <c r="C115" s="2" t="s">
        <v>401</v>
      </c>
      <c r="D115" s="47" t="n">
        <f aca="false">D49</f>
        <v>1110</v>
      </c>
      <c r="E115" s="47" t="n">
        <f aca="false">E49</f>
        <v>2439</v>
      </c>
      <c r="F115" s="47" t="n">
        <f aca="false">F49</f>
        <v>2477</v>
      </c>
      <c r="G115" s="47" t="n">
        <f aca="false">G49</f>
        <v>2779</v>
      </c>
      <c r="H115" s="47" t="n">
        <f aca="false">H49</f>
        <v>3399</v>
      </c>
      <c r="I115" s="47" t="n">
        <f aca="false">I49</f>
        <v>3850</v>
      </c>
    </row>
    <row r="116" customFormat="false" ht="15" hidden="false" customHeight="false" outlineLevel="0" collapsed="false">
      <c r="C116" s="2" t="s">
        <v>269</v>
      </c>
      <c r="D116" s="47" t="n">
        <f aca="false">D50</f>
        <v>235</v>
      </c>
      <c r="E116" s="47" t="n">
        <f aca="false">E50</f>
        <v>396</v>
      </c>
      <c r="F116" s="47" t="n">
        <f aca="false">F50</f>
        <v>622</v>
      </c>
      <c r="G116" s="47" t="n">
        <f aca="false">G50</f>
        <v>712</v>
      </c>
      <c r="H116" s="47" t="n">
        <f aca="false">H50</f>
        <v>858</v>
      </c>
      <c r="I116" s="47" t="n">
        <f aca="false">I50</f>
        <v>1013</v>
      </c>
    </row>
    <row r="117" customFormat="false" ht="15" hidden="false" customHeight="false" outlineLevel="0" collapsed="false">
      <c r="C117" s="2" t="s">
        <v>448</v>
      </c>
      <c r="D117" s="47" t="n">
        <f aca="false">D57</f>
        <v>4055</v>
      </c>
      <c r="E117" s="47" t="n">
        <f aca="false">E57</f>
        <v>4265</v>
      </c>
      <c r="F117" s="47" t="n">
        <f aca="false">F57</f>
        <v>5419</v>
      </c>
      <c r="G117" s="47" t="n">
        <f aca="false">G57</f>
        <v>6264</v>
      </c>
      <c r="H117" s="47" t="n">
        <f aca="false">H57</f>
        <v>6856</v>
      </c>
      <c r="I117" s="47" t="n">
        <f aca="false">I57</f>
        <v>7450</v>
      </c>
    </row>
    <row r="118" customFormat="false" ht="15" hidden="false" customHeight="false" outlineLevel="0" collapsed="false">
      <c r="C118" s="2" t="s">
        <v>449</v>
      </c>
      <c r="D118" s="47" t="n">
        <f aca="false">D64</f>
        <v>-3180</v>
      </c>
      <c r="E118" s="47" t="n">
        <f aca="false">E64</f>
        <v>-2222</v>
      </c>
      <c r="F118" s="47" t="n">
        <f aca="false">F64</f>
        <v>-3564</v>
      </c>
      <c r="G118" s="47" t="n">
        <f aca="false">G64</f>
        <v>-4197</v>
      </c>
      <c r="H118" s="47" t="n">
        <f aca="false">H64</f>
        <v>-4315</v>
      </c>
      <c r="I118" s="47" t="n">
        <f aca="false">I64</f>
        <v>-4613</v>
      </c>
    </row>
    <row r="119" customFormat="false" ht="15" hidden="false" customHeight="false" outlineLevel="0" collapsed="false">
      <c r="C119" s="2" t="s">
        <v>450</v>
      </c>
      <c r="D119" s="47" t="n">
        <f aca="false">D55</f>
        <v>36.3722057635335</v>
      </c>
      <c r="E119" s="47" t="n">
        <f aca="false">E55</f>
        <v>51.0017187052421</v>
      </c>
      <c r="F119" s="47" t="n">
        <f aca="false">F55</f>
        <v>28.3622988361515</v>
      </c>
      <c r="G119" s="47" t="n">
        <f aca="false">G55</f>
        <v>27.207827043266</v>
      </c>
      <c r="H119" s="47" t="n">
        <f aca="false">H55</f>
        <v>28.2103551775888</v>
      </c>
      <c r="I119" s="47" t="n">
        <f aca="false">I55</f>
        <v>27.0152065670838</v>
      </c>
    </row>
    <row r="120" customFormat="false" ht="15" hidden="false" customHeight="false" outlineLevel="0" collapsed="false">
      <c r="C120" s="2" t="s">
        <v>451</v>
      </c>
      <c r="D120" s="47" t="n">
        <f aca="false">D56</f>
        <v>16.6424136592938</v>
      </c>
      <c r="E120" s="47" t="n">
        <f aca="false">E56</f>
        <v>15.4571703561116</v>
      </c>
      <c r="F120" s="47" t="n">
        <f aca="false">F56</f>
        <v>12.109558352891</v>
      </c>
      <c r="G120" s="47" t="n">
        <f aca="false">G56</f>
        <v>12.0801375912239</v>
      </c>
      <c r="H120" s="47" t="n">
        <f aca="false">H56</f>
        <v>11.8204121687929</v>
      </c>
      <c r="I120" s="47" t="n">
        <f aca="false">I56</f>
        <v>11.8174699565329</v>
      </c>
    </row>
    <row r="121" customFormat="false" ht="15" hidden="false" customHeight="false" outlineLevel="0" collapsed="false">
      <c r="C121" s="2" t="s">
        <v>452</v>
      </c>
      <c r="D121" s="47" t="n">
        <f aca="false">D87</f>
        <v>19.7297921042398</v>
      </c>
      <c r="E121" s="47" t="n">
        <f aca="false">E87</f>
        <v>35.5445483491304</v>
      </c>
      <c r="F121" s="47" t="n">
        <f aca="false">F87</f>
        <v>16.2527404832605</v>
      </c>
      <c r="G121" s="47" t="n">
        <f aca="false">G87</f>
        <v>15.1276894520421</v>
      </c>
      <c r="H121" s="47" t="n">
        <f aca="false">H87</f>
        <v>16.3899430087959</v>
      </c>
      <c r="I121" s="47" t="n">
        <f aca="false">I87</f>
        <v>15.197736610551</v>
      </c>
    </row>
    <row r="122" customFormat="false" ht="15" hidden="false" customHeight="false" outlineLevel="0" collapsed="false">
      <c r="C122" s="2" t="s">
        <v>453</v>
      </c>
      <c r="D122" s="47" t="n">
        <f aca="false">D90</f>
        <v>-36.0106138762521</v>
      </c>
      <c r="E122" s="47" t="n">
        <f aca="false">E90</f>
        <v>-4.66739595898316</v>
      </c>
      <c r="F122" s="47" t="n">
        <f aca="false">F90</f>
        <v>-23.5695833001859</v>
      </c>
      <c r="G122" s="47" t="n">
        <f aca="false">G90</f>
        <v>-20.0497857383572</v>
      </c>
      <c r="H122" s="47" t="n">
        <f aca="false">H90</f>
        <v>-14.2160768290281</v>
      </c>
      <c r="I122" s="47" t="n">
        <f aca="false">I90</f>
        <v>-12.6928651515545</v>
      </c>
    </row>
  </sheetData>
  <mergeCells count="15">
    <mergeCell ref="A1:J1"/>
    <mergeCell ref="A6:J6"/>
    <mergeCell ref="D28:J28"/>
    <mergeCell ref="A30:J30"/>
    <mergeCell ref="A46:J46"/>
    <mergeCell ref="A69:J69"/>
    <mergeCell ref="A98:J98"/>
    <mergeCell ref="B100:J100"/>
    <mergeCell ref="B101:J101"/>
    <mergeCell ref="B102:J102"/>
    <mergeCell ref="B103:J103"/>
    <mergeCell ref="B104:J104"/>
    <mergeCell ref="B105:J105"/>
    <mergeCell ref="B106:J106"/>
    <mergeCell ref="B107:J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10" min="4" style="0" width="13"/>
    <col collapsed="false" customWidth="true" hidden="false" outlineLevel="0" max="11" min="11" style="0" width="3"/>
    <col collapsed="false" customWidth="true" hidden="false" outlineLevel="0" max="19" min="12" style="0" width="11"/>
  </cols>
  <sheetData>
    <row r="1" customFormat="false" ht="24" hidden="false" customHeight="true" outlineLevel="0" collapsed="false">
      <c r="A1" s="1" t="s">
        <v>454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B2" s="2" t="s">
        <v>1</v>
      </c>
      <c r="C2" s="3" t="s">
        <v>2</v>
      </c>
      <c r="D2" s="4" t="s">
        <v>3</v>
      </c>
      <c r="E2" s="5" t="s">
        <v>4</v>
      </c>
      <c r="F2" s="4" t="s">
        <v>5</v>
      </c>
      <c r="G2" s="6" t="s">
        <v>6</v>
      </c>
      <c r="H2" s="4" t="s">
        <v>7</v>
      </c>
      <c r="I2" s="7" t="s">
        <v>8</v>
      </c>
      <c r="J2" s="4" t="s">
        <v>9</v>
      </c>
      <c r="K2" s="8" t="s">
        <v>10</v>
      </c>
      <c r="L2" s="4" t="s">
        <v>11</v>
      </c>
    </row>
    <row r="4" customFormat="false" ht="15" hidden="false" customHeight="false" outlineLevel="0" collapsed="false">
      <c r="A4" s="35" t="s">
        <v>455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customFormat="false" ht="15" hidden="false" customHeight="false" outlineLevel="0" collapsed="false">
      <c r="B5" s="63" t="s">
        <v>456</v>
      </c>
    </row>
    <row r="7" customFormat="false" ht="18" hidden="false" customHeight="true" outlineLevel="0" collapsed="false">
      <c r="A7" s="9" t="s">
        <v>457</v>
      </c>
      <c r="B7" s="9"/>
      <c r="C7" s="9"/>
      <c r="D7" s="9"/>
      <c r="E7" s="9"/>
      <c r="F7" s="9"/>
      <c r="G7" s="9"/>
      <c r="H7" s="9"/>
      <c r="I7" s="9"/>
      <c r="J7" s="9"/>
    </row>
    <row r="8" customFormat="false" ht="15" hidden="false" customHeight="false" outlineLevel="0" collapsed="false">
      <c r="B8" s="2" t="s">
        <v>458</v>
      </c>
      <c r="D8" s="30" t="n">
        <f aca="false">Hipotesis!D55</f>
        <v>77.11</v>
      </c>
    </row>
    <row r="9" customFormat="false" ht="15" hidden="false" customHeight="false" outlineLevel="0" collapsed="false">
      <c r="B9" s="24" t="s">
        <v>459</v>
      </c>
      <c r="D9" s="26" t="n">
        <f aca="false">Hipotesis!D46</f>
        <v>2071391</v>
      </c>
    </row>
    <row r="10" customFormat="false" ht="15" hidden="false" customHeight="false" outlineLevel="0" collapsed="false">
      <c r="B10" s="24" t="s">
        <v>21</v>
      </c>
      <c r="D10" s="21" t="n">
        <f aca="false">D8*D9/1000</f>
        <v>159724.96001</v>
      </c>
    </row>
    <row r="11" customFormat="false" ht="15" hidden="false" customHeight="false" outlineLevel="0" collapsed="false">
      <c r="B11" s="24" t="s">
        <v>460</v>
      </c>
      <c r="D11" s="23" t="n">
        <f aca="false">Hipotesis!D51</f>
        <v>10514</v>
      </c>
    </row>
    <row r="12" customFormat="false" ht="15" hidden="false" customHeight="false" outlineLevel="0" collapsed="false">
      <c r="B12" s="24" t="s">
        <v>461</v>
      </c>
      <c r="D12" s="23" t="n">
        <f aca="false">-Hipotesis!D49-Hipotesis!D50</f>
        <v>-6091</v>
      </c>
    </row>
    <row r="13" customFormat="false" ht="15" hidden="false" customHeight="false" outlineLevel="0" collapsed="false">
      <c r="B13" s="24" t="s">
        <v>462</v>
      </c>
      <c r="D13" s="23" t="n">
        <f aca="false">-Hipotesis!D52</f>
        <v>-8109</v>
      </c>
    </row>
    <row r="14" customFormat="false" ht="15" hidden="false" customHeight="false" outlineLevel="0" collapsed="false">
      <c r="B14" s="24" t="s">
        <v>463</v>
      </c>
      <c r="D14" s="23" t="n">
        <f aca="false">-Hipotesis!D53</f>
        <v>-268</v>
      </c>
    </row>
    <row r="15" customFormat="false" ht="15" hidden="false" customHeight="false" outlineLevel="0" collapsed="false">
      <c r="B15" s="24" t="s">
        <v>464</v>
      </c>
      <c r="D15" s="23" t="n">
        <f aca="false">Hipotesis!D54</f>
        <v>1061</v>
      </c>
    </row>
    <row r="16" customFormat="false" ht="15" hidden="false" customHeight="false" outlineLevel="0" collapsed="false">
      <c r="B16" s="2" t="s">
        <v>465</v>
      </c>
      <c r="D16" s="69" t="n">
        <f aca="false">SUM(D10:D15)</f>
        <v>156831.96001</v>
      </c>
    </row>
    <row r="18" customFormat="false" ht="15" hidden="false" customHeight="false" outlineLevel="0" collapsed="false">
      <c r="A18" s="35" t="s">
        <v>466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5" hidden="false" customHeight="false" outlineLevel="0" collapsed="false">
      <c r="B19" s="24" t="s">
        <v>141</v>
      </c>
      <c r="D19" s="40" t="n">
        <f aca="false">Hipotesis!D14</f>
        <v>0.104564</v>
      </c>
    </row>
    <row r="20" customFormat="false" ht="15" hidden="false" customHeight="false" outlineLevel="0" collapsed="false">
      <c r="B20" s="24" t="s">
        <v>467</v>
      </c>
      <c r="D20" s="40" t="n">
        <f aca="false">Hipotesis!D15</f>
        <v>0.025</v>
      </c>
    </row>
    <row r="21" customFormat="false" ht="15" hidden="false" customHeight="false" outlineLevel="0" collapsed="false">
      <c r="B21" s="24" t="s">
        <v>468</v>
      </c>
      <c r="D21" s="40" t="n">
        <f aca="false">Hipotesis!D10</f>
        <v>0.22</v>
      </c>
    </row>
    <row r="22" customFormat="false" ht="15" hidden="false" customHeight="false" outlineLevel="0" collapsed="false">
      <c r="B22" s="24" t="s">
        <v>469</v>
      </c>
      <c r="D22" s="41" t="n">
        <f aca="false">Hipotesis!D40</f>
        <v>5</v>
      </c>
    </row>
    <row r="24" customFormat="false" ht="15" hidden="false" customHeight="false" outlineLevel="0" collapsed="false">
      <c r="A24" s="35" t="s">
        <v>470</v>
      </c>
      <c r="B24" s="36"/>
      <c r="C24" s="36"/>
      <c r="D24" s="36"/>
      <c r="E24" s="36"/>
      <c r="F24" s="36"/>
      <c r="G24" s="36"/>
      <c r="H24" s="36"/>
      <c r="I24" s="36"/>
      <c r="J24" s="36"/>
    </row>
    <row r="25" customFormat="false" ht="15" hidden="false" customHeight="false" outlineLevel="0" collapsed="false">
      <c r="D25" s="22" t="s">
        <v>123</v>
      </c>
      <c r="E25" s="22" t="s">
        <v>196</v>
      </c>
      <c r="F25" s="22" t="s">
        <v>197</v>
      </c>
      <c r="G25" s="22" t="s">
        <v>198</v>
      </c>
      <c r="H25" s="22" t="s">
        <v>124</v>
      </c>
    </row>
    <row r="26" customFormat="false" ht="15" hidden="false" customHeight="false" outlineLevel="0" collapsed="false">
      <c r="B26" s="2" t="s">
        <v>471</v>
      </c>
      <c r="D26" s="23" t="n">
        <f aca="false">Modelo!F75</f>
        <v>5544.86686092</v>
      </c>
      <c r="E26" s="23" t="n">
        <f aca="false">Modelo!G75</f>
        <v>7167.58115132688</v>
      </c>
      <c r="F26" s="23" t="n">
        <f aca="false">Modelo!H75</f>
        <v>9930.74774919336</v>
      </c>
      <c r="G26" s="23" t="n">
        <f aca="false">Modelo!I75</f>
        <v>12207.9555232249</v>
      </c>
      <c r="H26" s="23" t="n">
        <f aca="false">Modelo!J75</f>
        <v>14426.5062233965</v>
      </c>
    </row>
    <row r="27" customFormat="false" ht="15" hidden="false" customHeight="false" outlineLevel="0" collapsed="false">
      <c r="B27" s="24" t="s">
        <v>472</v>
      </c>
      <c r="D27" s="23" t="n">
        <f aca="false">Modelo!F62</f>
        <v>8486.921514</v>
      </c>
      <c r="E27" s="23" t="n">
        <f aca="false">Modelo!G62</f>
        <v>11952.671381496</v>
      </c>
      <c r="F27" s="23" t="n">
        <f aca="false">Modelo!H62</f>
        <v>15214.131052812</v>
      </c>
      <c r="G27" s="23" t="n">
        <f aca="false">Modelo!I62</f>
        <v>17945.5194008647</v>
      </c>
      <c r="H27" s="23" t="n">
        <f aca="false">Modelo!J62</f>
        <v>20406.1196952212</v>
      </c>
    </row>
    <row r="28" customFormat="false" ht="15" hidden="false" customHeight="false" outlineLevel="0" collapsed="false">
      <c r="B28" s="24" t="s">
        <v>473</v>
      </c>
      <c r="D28" s="23" t="n">
        <f aca="false">Modelo!F72</f>
        <v>9290.9927484</v>
      </c>
      <c r="E28" s="23" t="n">
        <f aca="false">Modelo!G72</f>
        <v>12907.6277927328</v>
      </c>
      <c r="F28" s="23" t="n">
        <f aca="false">Modelo!H72</f>
        <v>16304.6266770888</v>
      </c>
      <c r="G28" s="23" t="n">
        <f aca="false">Modelo!I72</f>
        <v>19161.283497803</v>
      </c>
      <c r="H28" s="23" t="n">
        <f aca="false">Modelo!J72</f>
        <v>21726.2024918808</v>
      </c>
    </row>
    <row r="29" customFormat="false" ht="15" hidden="false" customHeight="false" outlineLevel="0" collapsed="false">
      <c r="B29" s="24" t="s">
        <v>474</v>
      </c>
      <c r="D29" s="23" t="n">
        <f aca="false">Modelo!F55</f>
        <v>57433.6596</v>
      </c>
      <c r="E29" s="23" t="n">
        <f aca="false">Modelo!G55</f>
        <v>68211.1722312</v>
      </c>
      <c r="F29" s="23" t="n">
        <f aca="false">Modelo!H55</f>
        <v>77892.5445912</v>
      </c>
      <c r="G29" s="23" t="n">
        <f aca="false">Modelo!I55</f>
        <v>86840.292638448</v>
      </c>
      <c r="H29" s="23" t="n">
        <f aca="false">Modelo!J55</f>
        <v>94291.6283328283</v>
      </c>
    </row>
    <row r="30" customFormat="false" ht="15" hidden="false" customHeight="false" outlineLevel="0" collapsed="false">
      <c r="B30" s="24" t="s">
        <v>475</v>
      </c>
      <c r="D30" s="76" t="n">
        <f aca="false">1</f>
        <v>1</v>
      </c>
      <c r="E30" s="76" t="n">
        <f aca="false">2</f>
        <v>2</v>
      </c>
      <c r="F30" s="76" t="n">
        <f aca="false">3</f>
        <v>3</v>
      </c>
      <c r="G30" s="76" t="n">
        <f aca="false">4</f>
        <v>4</v>
      </c>
      <c r="H30" s="76" t="n">
        <f aca="false">5</f>
        <v>5</v>
      </c>
    </row>
    <row r="31" customFormat="false" ht="15" hidden="false" customHeight="false" outlineLevel="0" collapsed="false">
      <c r="B31" s="24" t="s">
        <v>476</v>
      </c>
      <c r="D31" s="79" t="n">
        <f aca="false">1/(1+$D$19)^D30</f>
        <v>0.905334593559088</v>
      </c>
      <c r="E31" s="79" t="n">
        <f aca="false">1/(1+$D$19)^E30</f>
        <v>0.819630726294798</v>
      </c>
      <c r="F31" s="79" t="n">
        <f aca="false">1/(1+$D$19)^F30</f>
        <v>0.742040050458641</v>
      </c>
      <c r="G31" s="79" t="n">
        <f aca="false">1/(1+$D$19)^G30</f>
        <v>0.671794527486538</v>
      </c>
      <c r="H31" s="79" t="n">
        <f aca="false">1/(1+$D$19)^H30</f>
        <v>0.608198825497244</v>
      </c>
    </row>
    <row r="32" customFormat="false" ht="15" hidden="false" customHeight="false" outlineLevel="0" collapsed="false">
      <c r="B32" s="24" t="s">
        <v>477</v>
      </c>
      <c r="D32" s="21" t="n">
        <f aca="false">D26*D31</f>
        <v>5019.95978587026</v>
      </c>
      <c r="E32" s="21" t="n">
        <f aca="false">E26*E31</f>
        <v>5874.76974483895</v>
      </c>
      <c r="F32" s="21" t="n">
        <f aca="false">F26*F31</f>
        <v>7369.01256090347</v>
      </c>
      <c r="G32" s="21" t="n">
        <f aca="false">G26*G31</f>
        <v>8201.23771230153</v>
      </c>
      <c r="H32" s="21" t="n">
        <f aca="false">H26*H31</f>
        <v>8774.18414109844</v>
      </c>
    </row>
    <row r="33" customFormat="false" ht="15" hidden="false" customHeight="false" outlineLevel="0" collapsed="false">
      <c r="B33" s="2" t="s">
        <v>478</v>
      </c>
      <c r="D33" s="69" t="n">
        <f aca="false">SUM(D32:H32)</f>
        <v>35239.1639450127</v>
      </c>
    </row>
    <row r="34" customFormat="false" ht="15" hidden="false" customHeight="false" outlineLevel="0" collapsed="false">
      <c r="B34" s="2" t="s">
        <v>479</v>
      </c>
      <c r="D34" s="69" t="n">
        <f aca="false">D16-D33</f>
        <v>121592.796064987</v>
      </c>
    </row>
    <row r="35" customFormat="false" ht="15" hidden="false" customHeight="false" outlineLevel="0" collapsed="false">
      <c r="B35" s="2" t="s">
        <v>480</v>
      </c>
      <c r="D35" s="69" t="n">
        <f aca="false">D34/H31</f>
        <v>199922.773552838</v>
      </c>
    </row>
    <row r="37" customFormat="false" ht="18" hidden="false" customHeight="true" outlineLevel="0" collapsed="false">
      <c r="A37" s="9" t="s">
        <v>481</v>
      </c>
      <c r="B37" s="9"/>
      <c r="C37" s="9"/>
      <c r="D37" s="9"/>
      <c r="E37" s="9"/>
      <c r="F37" s="9"/>
      <c r="G37" s="9"/>
      <c r="H37" s="9"/>
      <c r="I37" s="9"/>
      <c r="J37" s="9"/>
    </row>
    <row r="38" customFormat="false" ht="15" hidden="false" customHeight="false" outlineLevel="0" collapsed="false">
      <c r="B38" s="63" t="s">
        <v>482</v>
      </c>
    </row>
    <row r="40" customFormat="false" ht="15" hidden="false" customHeight="false" outlineLevel="0" collapsed="false">
      <c r="A40" s="35" t="s">
        <v>483</v>
      </c>
      <c r="B40" s="36"/>
      <c r="C40" s="36"/>
      <c r="D40" s="36"/>
      <c r="E40" s="36"/>
      <c r="F40" s="36"/>
      <c r="G40" s="36"/>
      <c r="H40" s="36"/>
      <c r="I40" s="36"/>
      <c r="J40" s="36"/>
    </row>
    <row r="41" customFormat="false" ht="15" hidden="false" customHeight="false" outlineLevel="0" collapsed="false">
      <c r="D41" s="22" t="s">
        <v>471</v>
      </c>
      <c r="E41" s="22" t="s">
        <v>484</v>
      </c>
      <c r="F41" s="22" t="s">
        <v>485</v>
      </c>
      <c r="G41" s="28" t="s">
        <v>486</v>
      </c>
    </row>
    <row r="42" customFormat="false" ht="15" hidden="false" customHeight="false" outlineLevel="0" collapsed="false">
      <c r="B42" s="2" t="s">
        <v>487</v>
      </c>
      <c r="D42" s="23" t="n">
        <f aca="false">Historico!I62</f>
        <v>9763</v>
      </c>
      <c r="E42" s="56" t="n">
        <f aca="false">($D$16*$D$19-D42)/($D$16+D42)</f>
        <v>0.0398330001465069</v>
      </c>
      <c r="F42" s="53" t="n">
        <f aca="false">E42-$D$20</f>
        <v>0.0148330001465069</v>
      </c>
      <c r="G42" s="85" t="s">
        <v>488</v>
      </c>
      <c r="H42" s="85"/>
      <c r="I42" s="85"/>
      <c r="J42" s="85"/>
    </row>
    <row r="43" customFormat="false" ht="15" hidden="false" customHeight="false" outlineLevel="0" collapsed="false">
      <c r="B43" s="2" t="s">
        <v>489</v>
      </c>
      <c r="D43" s="21" t="n">
        <f aca="false">D26</f>
        <v>5544.86686092</v>
      </c>
      <c r="E43" s="56" t="n">
        <f aca="false">($D$16*$D$19-D43)/($D$16+D43)</f>
        <v>0.0668451922280389</v>
      </c>
      <c r="F43" s="53" t="n">
        <f aca="false">E43-$D$20</f>
        <v>0.0418451922280389</v>
      </c>
      <c r="G43" s="85" t="s">
        <v>490</v>
      </c>
      <c r="H43" s="85"/>
      <c r="I43" s="85"/>
      <c r="J43" s="85"/>
    </row>
    <row r="44" customFormat="false" ht="15" hidden="false" customHeight="false" outlineLevel="0" collapsed="false">
      <c r="B44" s="2" t="s">
        <v>491</v>
      </c>
      <c r="D44" s="21" t="n">
        <f aca="false">H26</f>
        <v>14426.5062233965</v>
      </c>
      <c r="E44" s="56" t="n">
        <f aca="false">($D$16*$D$19-D44)/($D$16+D44)</f>
        <v>0.0115175085148841</v>
      </c>
      <c r="F44" s="53" t="n">
        <f aca="false">E44-$D$20</f>
        <v>-0.0134824914851159</v>
      </c>
      <c r="G44" s="85" t="s">
        <v>492</v>
      </c>
      <c r="H44" s="85"/>
      <c r="I44" s="85"/>
      <c r="J44" s="85"/>
    </row>
    <row r="46" customFormat="false" ht="15" hidden="false" customHeight="false" outlineLevel="0" collapsed="false">
      <c r="B46" s="2" t="s">
        <v>493</v>
      </c>
    </row>
    <row r="47" customFormat="false" ht="15" hidden="false" customHeight="false" outlineLevel="0" collapsed="false">
      <c r="B47" s="63" t="s">
        <v>494</v>
      </c>
    </row>
    <row r="48" customFormat="false" ht="15" hidden="false" customHeight="false" outlineLevel="0" collapsed="false">
      <c r="B48" s="63" t="s">
        <v>495</v>
      </c>
    </row>
    <row r="49" customFormat="false" ht="15" hidden="false" customHeight="false" outlineLevel="0" collapsed="false">
      <c r="B49" s="63" t="s">
        <v>496</v>
      </c>
    </row>
    <row r="51" customFormat="false" ht="18" hidden="false" customHeight="true" outlineLevel="0" collapsed="false">
      <c r="A51" s="9" t="s">
        <v>497</v>
      </c>
      <c r="B51" s="9"/>
      <c r="C51" s="9"/>
      <c r="D51" s="9"/>
      <c r="E51" s="9"/>
      <c r="F51" s="9"/>
      <c r="G51" s="9"/>
      <c r="H51" s="9"/>
      <c r="I51" s="9"/>
      <c r="J51" s="9"/>
    </row>
    <row r="52" customFormat="false" ht="15" hidden="false" customHeight="false" outlineLevel="0" collapsed="false">
      <c r="B52" s="63" t="s">
        <v>498</v>
      </c>
    </row>
    <row r="53" customFormat="false" ht="15" hidden="false" customHeight="false" outlineLevel="0" collapsed="false">
      <c r="B53" s="63" t="s">
        <v>499</v>
      </c>
    </row>
    <row r="55" customFormat="false" ht="15" hidden="false" customHeight="false" outlineLevel="0" collapsed="false">
      <c r="A55" s="35" t="s">
        <v>500</v>
      </c>
      <c r="B55" s="36"/>
      <c r="C55" s="36"/>
      <c r="D55" s="36"/>
      <c r="E55" s="36"/>
      <c r="F55" s="36"/>
      <c r="G55" s="36"/>
      <c r="H55" s="36"/>
      <c r="I55" s="36"/>
      <c r="J55" s="36"/>
    </row>
    <row r="56" customFormat="false" ht="15" hidden="false" customHeight="false" outlineLevel="0" collapsed="false">
      <c r="B56" s="2" t="s">
        <v>501</v>
      </c>
      <c r="D56" s="21" t="n">
        <f aca="false">D35</f>
        <v>199922.773552838</v>
      </c>
    </row>
    <row r="57" customFormat="false" ht="15" hidden="false" customHeight="false" outlineLevel="0" collapsed="false">
      <c r="B57" s="24" t="s">
        <v>502</v>
      </c>
      <c r="D57" s="23" t="n">
        <f aca="false">H26</f>
        <v>14426.5062233965</v>
      </c>
    </row>
    <row r="58" customFormat="false" ht="15" hidden="false" customHeight="false" outlineLevel="0" collapsed="false">
      <c r="B58" s="2" t="s">
        <v>503</v>
      </c>
      <c r="D58" s="56" t="n">
        <f aca="false">(D56*D19-D57)/(D56+D57)</f>
        <v>0.030222721891789</v>
      </c>
    </row>
    <row r="59" customFormat="false" ht="15" hidden="false" customHeight="false" outlineLevel="0" collapsed="false">
      <c r="B59" s="24" t="s">
        <v>504</v>
      </c>
      <c r="D59" s="53" t="n">
        <f aca="false">D58-D20</f>
        <v>0.00522272189178903</v>
      </c>
    </row>
    <row r="61" customFormat="false" ht="15" hidden="false" customHeight="false" outlineLevel="0" collapsed="false">
      <c r="B61" s="2" t="s">
        <v>395</v>
      </c>
    </row>
    <row r="62" customFormat="false" ht="15" hidden="false" customHeight="false" outlineLevel="0" collapsed="false">
      <c r="B62" s="63" t="s">
        <v>505</v>
      </c>
    </row>
    <row r="63" customFormat="false" ht="15" hidden="false" customHeight="false" outlineLevel="0" collapsed="false">
      <c r="B63" s="63" t="s">
        <v>506</v>
      </c>
    </row>
    <row r="64" customFormat="false" ht="15" hidden="false" customHeight="false" outlineLevel="0" collapsed="false">
      <c r="B64" s="63" t="s">
        <v>507</v>
      </c>
    </row>
    <row r="66" customFormat="false" ht="18" hidden="false" customHeight="true" outlineLevel="0" collapsed="false">
      <c r="A66" s="9" t="s">
        <v>508</v>
      </c>
      <c r="B66" s="9"/>
      <c r="C66" s="9"/>
      <c r="D66" s="9"/>
      <c r="E66" s="9"/>
      <c r="F66" s="9"/>
      <c r="G66" s="9"/>
      <c r="H66" s="9"/>
      <c r="I66" s="9"/>
      <c r="J66" s="9"/>
    </row>
    <row r="67" customFormat="false" ht="15" hidden="false" customHeight="false" outlineLevel="0" collapsed="false">
      <c r="B67" s="63" t="s">
        <v>509</v>
      </c>
    </row>
    <row r="68" customFormat="false" ht="15" hidden="false" customHeight="false" outlineLevel="0" collapsed="false">
      <c r="B68" s="63" t="s">
        <v>510</v>
      </c>
    </row>
    <row r="70" customFormat="false" ht="15" hidden="false" customHeight="false" outlineLevel="0" collapsed="false">
      <c r="A70" s="35" t="s">
        <v>500</v>
      </c>
      <c r="B70" s="36"/>
      <c r="C70" s="36"/>
      <c r="D70" s="36"/>
      <c r="E70" s="36"/>
      <c r="F70" s="36"/>
      <c r="G70" s="36"/>
      <c r="H70" s="36"/>
      <c r="I70" s="36"/>
      <c r="J70" s="36"/>
    </row>
    <row r="71" customFormat="false" ht="15" hidden="false" customHeight="false" outlineLevel="0" collapsed="false">
      <c r="B71" s="24" t="s">
        <v>501</v>
      </c>
      <c r="D71" s="21" t="n">
        <f aca="false">D35</f>
        <v>199922.773552838</v>
      </c>
    </row>
    <row r="72" customFormat="false" ht="15" hidden="false" customHeight="false" outlineLevel="0" collapsed="false">
      <c r="B72" s="24" t="s">
        <v>511</v>
      </c>
      <c r="D72" s="23" t="n">
        <f aca="false">H28</f>
        <v>21726.2024918808</v>
      </c>
    </row>
    <row r="73" customFormat="false" ht="15" hidden="false" customHeight="false" outlineLevel="0" collapsed="false">
      <c r="B73" s="2" t="s">
        <v>512</v>
      </c>
      <c r="D73" s="27" t="n">
        <f aca="false">D71/D72</f>
        <v>9.20191983056171</v>
      </c>
    </row>
    <row r="74" customFormat="false" ht="15" hidden="false" customHeight="false" outlineLevel="0" collapsed="false">
      <c r="B74" s="24" t="s">
        <v>513</v>
      </c>
      <c r="D74" s="83" t="n">
        <f aca="false">D73-Hipotesis!D16</f>
        <v>-6.79808016943829</v>
      </c>
    </row>
    <row r="75" customFormat="false" ht="15" hidden="false" customHeight="false" outlineLevel="0" collapsed="false">
      <c r="B75" s="24" t="s">
        <v>514</v>
      </c>
      <c r="D75" s="23" t="n">
        <f aca="false">H27</f>
        <v>20406.1196952212</v>
      </c>
    </row>
    <row r="76" customFormat="false" ht="15" hidden="false" customHeight="false" outlineLevel="0" collapsed="false">
      <c r="B76" s="2" t="s">
        <v>515</v>
      </c>
      <c r="D76" s="27" t="n">
        <f aca="false">D71/D75</f>
        <v>9.79719694576015</v>
      </c>
    </row>
    <row r="77" customFormat="false" ht="15" hidden="false" customHeight="false" outlineLevel="0" collapsed="false">
      <c r="B77" s="24" t="s">
        <v>516</v>
      </c>
      <c r="D77" s="83" t="n">
        <f aca="false">D76-Hipotesis!D17</f>
        <v>-8.20280305423985</v>
      </c>
    </row>
    <row r="79" customFormat="false" ht="15" hidden="false" customHeight="false" outlineLevel="0" collapsed="false">
      <c r="B79" s="2" t="s">
        <v>395</v>
      </c>
    </row>
    <row r="80" customFormat="false" ht="15" hidden="false" customHeight="false" outlineLevel="0" collapsed="false">
      <c r="B80" s="63" t="s">
        <v>517</v>
      </c>
    </row>
    <row r="81" customFormat="false" ht="15" hidden="false" customHeight="false" outlineLevel="0" collapsed="false">
      <c r="B81" s="63" t="s">
        <v>518</v>
      </c>
    </row>
    <row r="82" customFormat="false" ht="15" hidden="false" customHeight="false" outlineLevel="0" collapsed="false">
      <c r="B82" s="63" t="s">
        <v>519</v>
      </c>
    </row>
    <row r="84" customFormat="false" ht="18" hidden="false" customHeight="true" outlineLevel="0" collapsed="false">
      <c r="A84" s="9" t="s">
        <v>520</v>
      </c>
      <c r="B84" s="9"/>
      <c r="C84" s="9"/>
      <c r="D84" s="9"/>
      <c r="E84" s="9"/>
      <c r="F84" s="9"/>
      <c r="G84" s="9"/>
      <c r="H84" s="9"/>
      <c r="I84" s="9"/>
      <c r="J84" s="9"/>
    </row>
    <row r="85" customFormat="false" ht="15" hidden="false" customHeight="false" outlineLevel="0" collapsed="false">
      <c r="B85" s="63" t="s">
        <v>521</v>
      </c>
    </row>
    <row r="87" customFormat="false" ht="15" hidden="false" customHeight="false" outlineLevel="0" collapsed="false">
      <c r="A87" s="35" t="s">
        <v>500</v>
      </c>
      <c r="B87" s="36"/>
      <c r="C87" s="36"/>
      <c r="D87" s="36"/>
      <c r="E87" s="36"/>
      <c r="F87" s="36"/>
      <c r="G87" s="36"/>
      <c r="H87" s="36"/>
      <c r="I87" s="36"/>
      <c r="J87" s="36"/>
    </row>
    <row r="88" customFormat="false" ht="15" hidden="false" customHeight="false" outlineLevel="0" collapsed="false">
      <c r="B88" s="24" t="s">
        <v>522</v>
      </c>
      <c r="D88" s="21" t="n">
        <f aca="false">D33-G32</f>
        <v>27037.9262327111</v>
      </c>
    </row>
    <row r="89" customFormat="false" ht="15" hidden="false" customHeight="false" outlineLevel="0" collapsed="false">
      <c r="B89" s="2" t="s">
        <v>523</v>
      </c>
      <c r="D89" s="69" t="n">
        <f aca="false">(D16-D88)*(D19-D20)*(1+D19)^4</f>
        <v>15372.1593149821</v>
      </c>
    </row>
    <row r="90" customFormat="false" ht="15" hidden="false" customHeight="false" outlineLevel="0" collapsed="false">
      <c r="B90" s="24" t="s">
        <v>524</v>
      </c>
      <c r="D90" s="23" t="n">
        <f aca="false">H26</f>
        <v>14426.5062233965</v>
      </c>
    </row>
    <row r="91" customFormat="false" ht="15" hidden="false" customHeight="false" outlineLevel="0" collapsed="false">
      <c r="B91" s="24" t="s">
        <v>525</v>
      </c>
      <c r="D91" s="21" t="n">
        <f aca="false">D89-D90</f>
        <v>945.653091585631</v>
      </c>
    </row>
    <row r="92" customFormat="false" ht="15" hidden="false" customHeight="false" outlineLevel="0" collapsed="false">
      <c r="B92" s="24" t="s">
        <v>526</v>
      </c>
      <c r="D92" s="31" t="n">
        <f aca="false">D89/D90-1</f>
        <v>0.0655496956048858</v>
      </c>
    </row>
    <row r="94" customFormat="false" ht="15" hidden="false" customHeight="false" outlineLevel="0" collapsed="false">
      <c r="A94" s="35" t="s">
        <v>527</v>
      </c>
      <c r="B94" s="36"/>
      <c r="C94" s="36"/>
      <c r="D94" s="36"/>
      <c r="E94" s="36"/>
      <c r="F94" s="36"/>
      <c r="G94" s="36"/>
      <c r="H94" s="36"/>
      <c r="I94" s="36"/>
      <c r="J94" s="36"/>
    </row>
    <row r="95" customFormat="false" ht="15" hidden="false" customHeight="false" outlineLevel="0" collapsed="false">
      <c r="B95" s="24" t="s">
        <v>528</v>
      </c>
      <c r="D95" s="21" t="n">
        <f aca="false">D89</f>
        <v>15372.1593149821</v>
      </c>
    </row>
    <row r="96" customFormat="false" ht="15" hidden="false" customHeight="false" outlineLevel="0" collapsed="false">
      <c r="B96" s="24" t="s">
        <v>529</v>
      </c>
      <c r="D96" s="21" t="n">
        <f aca="false">(H29-G29)/D22</f>
        <v>1490.26713887606</v>
      </c>
    </row>
    <row r="97" customFormat="false" ht="15" hidden="false" customHeight="false" outlineLevel="0" collapsed="false">
      <c r="B97" s="24" t="s">
        <v>530</v>
      </c>
      <c r="D97" s="21" t="n">
        <f aca="false">D95+D96</f>
        <v>16862.4264538582</v>
      </c>
    </row>
    <row r="98" customFormat="false" ht="15" hidden="false" customHeight="false" outlineLevel="0" collapsed="false">
      <c r="B98" s="24" t="s">
        <v>531</v>
      </c>
      <c r="D98" s="21" t="n">
        <f aca="false">D97/(1-D21)</f>
        <v>21618.4954536644</v>
      </c>
    </row>
    <row r="99" customFormat="false" ht="15" hidden="false" customHeight="false" outlineLevel="0" collapsed="false">
      <c r="B99" s="24" t="s">
        <v>532</v>
      </c>
      <c r="D99" s="21" t="n">
        <f aca="false">H29</f>
        <v>94291.6283328283</v>
      </c>
    </row>
    <row r="100" customFormat="false" ht="15" hidden="false" customHeight="false" outlineLevel="0" collapsed="false">
      <c r="B100" s="2" t="s">
        <v>533</v>
      </c>
      <c r="D100" s="81" t="n">
        <f aca="false">D98/D99</f>
        <v>0.229272691922934</v>
      </c>
    </row>
    <row r="101" customFormat="false" ht="15" hidden="false" customHeight="false" outlineLevel="0" collapsed="false">
      <c r="B101" s="24" t="s">
        <v>534</v>
      </c>
      <c r="D101" s="25" t="n">
        <f aca="false">Modelo!J63</f>
        <v>0.216414967649007</v>
      </c>
    </row>
    <row r="102" customFormat="false" ht="15" hidden="false" customHeight="false" outlineLevel="0" collapsed="false">
      <c r="B102" s="24" t="s">
        <v>535</v>
      </c>
      <c r="D102" s="86" t="n">
        <f aca="false">(D100-D101)*10000</f>
        <v>128.577242739271</v>
      </c>
    </row>
    <row r="104" customFormat="false" ht="15" hidden="false" customHeight="false" outlineLevel="0" collapsed="false">
      <c r="B104" s="2" t="s">
        <v>395</v>
      </c>
    </row>
    <row r="105" customFormat="false" ht="15" hidden="false" customHeight="false" outlineLevel="0" collapsed="false">
      <c r="B105" s="63" t="s">
        <v>536</v>
      </c>
    </row>
    <row r="106" customFormat="false" ht="15" hidden="false" customHeight="false" outlineLevel="0" collapsed="false">
      <c r="B106" s="63" t="s">
        <v>537</v>
      </c>
    </row>
    <row r="107" customFormat="false" ht="15" hidden="false" customHeight="false" outlineLevel="0" collapsed="false">
      <c r="B107" s="63" t="s">
        <v>538</v>
      </c>
    </row>
    <row r="109" customFormat="false" ht="18" hidden="false" customHeight="true" outlineLevel="0" collapsed="false">
      <c r="A109" s="9" t="s">
        <v>539</v>
      </c>
      <c r="B109" s="9"/>
      <c r="C109" s="9"/>
      <c r="D109" s="9"/>
      <c r="E109" s="9"/>
      <c r="F109" s="9"/>
      <c r="G109" s="9"/>
      <c r="H109" s="9"/>
      <c r="I109" s="9"/>
      <c r="J109" s="9"/>
    </row>
    <row r="110" customFormat="false" ht="15" hidden="false" customHeight="false" outlineLevel="0" collapsed="false">
      <c r="B110" s="63" t="s">
        <v>540</v>
      </c>
    </row>
    <row r="112" customFormat="false" ht="15" hidden="false" customHeight="false" outlineLevel="0" collapsed="false">
      <c r="A112" s="35" t="s">
        <v>500</v>
      </c>
      <c r="B112" s="36"/>
      <c r="C112" s="36"/>
      <c r="D112" s="36"/>
      <c r="E112" s="36"/>
      <c r="F112" s="36"/>
      <c r="G112" s="36"/>
      <c r="H112" s="36"/>
      <c r="I112" s="36"/>
      <c r="J112" s="36"/>
    </row>
    <row r="113" customFormat="false" ht="15" hidden="false" customHeight="false" outlineLevel="0" collapsed="false">
      <c r="B113" s="24" t="s">
        <v>541</v>
      </c>
      <c r="D113" s="23" t="n">
        <f aca="false">Historico!I62</f>
        <v>9763</v>
      </c>
    </row>
    <row r="114" customFormat="false" ht="15" hidden="false" customHeight="false" outlineLevel="0" collapsed="false">
      <c r="B114" s="24" t="s">
        <v>542</v>
      </c>
      <c r="D114" s="21" t="n">
        <f aca="false">D89</f>
        <v>15372.1593149821</v>
      </c>
    </row>
    <row r="115" customFormat="false" ht="15" hidden="false" customHeight="false" outlineLevel="0" collapsed="false">
      <c r="B115" s="2" t="s">
        <v>543</v>
      </c>
      <c r="D115" s="56" t="n">
        <f aca="false">(D114/D113)^(1/5)-1</f>
        <v>0.0950408420793971</v>
      </c>
    </row>
    <row r="116" customFormat="false" ht="15" hidden="false" customHeight="false" outlineLevel="0" collapsed="false">
      <c r="B116" s="24" t="s">
        <v>544</v>
      </c>
      <c r="D116" s="53" t="n">
        <f aca="false">(H26/D113)^(1/5)-1</f>
        <v>0.0812237471245858</v>
      </c>
    </row>
    <row r="118" customFormat="false" ht="15" hidden="false" customHeight="false" outlineLevel="0" collapsed="false">
      <c r="B118" s="63" t="s">
        <v>545</v>
      </c>
    </row>
    <row r="120" customFormat="false" ht="18" hidden="false" customHeight="true" outlineLevel="0" collapsed="false">
      <c r="A120" s="9" t="s">
        <v>546</v>
      </c>
      <c r="B120" s="9"/>
      <c r="C120" s="9"/>
      <c r="D120" s="9"/>
      <c r="E120" s="9"/>
      <c r="F120" s="9"/>
      <c r="G120" s="9"/>
      <c r="H120" s="9"/>
      <c r="I120" s="9"/>
      <c r="J120" s="9"/>
    </row>
    <row r="121" customFormat="false" ht="15" hidden="false" customHeight="false" outlineLevel="0" collapsed="false">
      <c r="B121" s="28" t="s">
        <v>547</v>
      </c>
      <c r="C121" s="29"/>
      <c r="D121" s="22" t="s">
        <v>548</v>
      </c>
      <c r="E121" s="22" t="s">
        <v>115</v>
      </c>
      <c r="F121" s="22" t="s">
        <v>549</v>
      </c>
      <c r="G121" s="28" t="s">
        <v>550</v>
      </c>
      <c r="H121" s="28"/>
      <c r="I121" s="28"/>
      <c r="J121" s="28"/>
    </row>
    <row r="122" customFormat="false" ht="15" hidden="false" customHeight="false" outlineLevel="0" collapsed="false">
      <c r="B122" s="2" t="s">
        <v>551</v>
      </c>
      <c r="D122" s="40" t="n">
        <f aca="false">E44</f>
        <v>0.0115175085148841</v>
      </c>
      <c r="E122" s="40" t="n">
        <f aca="false">D20</f>
        <v>0.025</v>
      </c>
      <c r="F122" s="53" t="n">
        <f aca="false">D122-E122</f>
        <v>-0.0134824914851159</v>
      </c>
      <c r="G122" s="85" t="s">
        <v>552</v>
      </c>
      <c r="H122" s="85"/>
      <c r="I122" s="85"/>
      <c r="J122" s="85"/>
    </row>
    <row r="123" customFormat="false" ht="15" hidden="false" customHeight="false" outlineLevel="0" collapsed="false">
      <c r="B123" s="2" t="s">
        <v>553</v>
      </c>
      <c r="D123" s="40" t="n">
        <f aca="false">D58</f>
        <v>0.030222721891789</v>
      </c>
      <c r="E123" s="40" t="n">
        <f aca="false">D20</f>
        <v>0.025</v>
      </c>
      <c r="F123" s="53" t="n">
        <f aca="false">D123-E123</f>
        <v>0.00522272189178903</v>
      </c>
      <c r="G123" s="85" t="s">
        <v>554</v>
      </c>
      <c r="H123" s="85"/>
      <c r="I123" s="85"/>
      <c r="J123" s="85"/>
    </row>
    <row r="124" customFormat="false" ht="15" hidden="false" customHeight="false" outlineLevel="0" collapsed="false">
      <c r="B124" s="2" t="s">
        <v>555</v>
      </c>
      <c r="D124" s="42" t="n">
        <f aca="false">D73</f>
        <v>9.20191983056171</v>
      </c>
      <c r="E124" s="42" t="n">
        <f aca="false">Hipotesis!D16</f>
        <v>16</v>
      </c>
      <c r="F124" s="83" t="n">
        <f aca="false">D124-E124</f>
        <v>-6.79808016943829</v>
      </c>
      <c r="G124" s="85" t="s">
        <v>556</v>
      </c>
      <c r="H124" s="85"/>
      <c r="I124" s="85"/>
      <c r="J124" s="85"/>
    </row>
    <row r="125" customFormat="false" ht="15" hidden="false" customHeight="false" outlineLevel="0" collapsed="false">
      <c r="B125" s="2" t="s">
        <v>557</v>
      </c>
      <c r="D125" s="25" t="n">
        <f aca="false">D100</f>
        <v>0.229272691922934</v>
      </c>
      <c r="E125" s="25" t="n">
        <f aca="false">Modelo!J63</f>
        <v>0.216414967649007</v>
      </c>
      <c r="F125" s="31" t="n">
        <f aca="false">D125-E125</f>
        <v>0.0128577242739271</v>
      </c>
      <c r="G125" s="85" t="s">
        <v>558</v>
      </c>
      <c r="H125" s="85"/>
      <c r="I125" s="85"/>
      <c r="J125" s="85"/>
    </row>
    <row r="126" customFormat="false" ht="15" hidden="false" customHeight="false" outlineLevel="0" collapsed="false">
      <c r="B126" s="2" t="s">
        <v>559</v>
      </c>
      <c r="D126" s="40" t="n">
        <f aca="false">D115</f>
        <v>0.0950408420793971</v>
      </c>
      <c r="E126" s="40" t="n">
        <f aca="false">D116</f>
        <v>0.0812237471245858</v>
      </c>
      <c r="F126" s="53" t="n">
        <f aca="false">D126-E126</f>
        <v>0.0138170949548113</v>
      </c>
      <c r="G126" s="85" t="s">
        <v>560</v>
      </c>
      <c r="H126" s="85"/>
      <c r="I126" s="85"/>
      <c r="J126" s="85"/>
    </row>
    <row r="129" customFormat="false" ht="18" hidden="false" customHeight="true" outlineLevel="0" collapsed="false">
      <c r="A129" s="9" t="s">
        <v>561</v>
      </c>
      <c r="B129" s="9"/>
      <c r="C129" s="9"/>
      <c r="D129" s="9"/>
      <c r="E129" s="9"/>
      <c r="F129" s="9"/>
      <c r="G129" s="9"/>
      <c r="H129" s="9"/>
      <c r="I129" s="9"/>
      <c r="J129" s="9"/>
    </row>
    <row r="130" customFormat="false" ht="15" hidden="false" customHeight="false" outlineLevel="0" collapsed="false">
      <c r="B130" s="63" t="s">
        <v>562</v>
      </c>
    </row>
    <row r="131" customFormat="false" ht="15" hidden="false" customHeight="false" outlineLevel="0" collapsed="false">
      <c r="B131" s="63" t="s">
        <v>563</v>
      </c>
    </row>
    <row r="132" customFormat="false" ht="15" hidden="false" customHeight="false" outlineLevel="0" collapsed="false">
      <c r="B132" s="63" t="s">
        <v>564</v>
      </c>
    </row>
    <row r="145" customFormat="false" ht="15" hidden="false" customHeight="false" outlineLevel="0" collapsed="false">
      <c r="B145" s="45" t="s">
        <v>163</v>
      </c>
    </row>
    <row r="146" customFormat="false" ht="15" hidden="false" customHeight="false" outlineLevel="0" collapsed="false">
      <c r="C146" s="48" t="s">
        <v>565</v>
      </c>
      <c r="D146" s="46" t="s">
        <v>76</v>
      </c>
      <c r="E146" s="46" t="s">
        <v>123</v>
      </c>
      <c r="F146" s="46" t="s">
        <v>196</v>
      </c>
      <c r="G146" s="46" t="s">
        <v>197</v>
      </c>
      <c r="H146" s="46" t="s">
        <v>198</v>
      </c>
      <c r="I146" s="46" t="s">
        <v>124</v>
      </c>
    </row>
    <row r="147" customFormat="false" ht="15" hidden="false" customHeight="false" outlineLevel="0" collapsed="false">
      <c r="C147" s="48" t="s">
        <v>566</v>
      </c>
      <c r="D147" s="87" t="n">
        <f aca="false">Historico!I62</f>
        <v>9763</v>
      </c>
      <c r="E147" s="87" t="n">
        <f aca="false">D26</f>
        <v>5544.86686092</v>
      </c>
      <c r="F147" s="87" t="n">
        <f aca="false">E26</f>
        <v>7167.58115132688</v>
      </c>
      <c r="G147" s="87" t="n">
        <f aca="false">F26</f>
        <v>9930.74774919336</v>
      </c>
      <c r="H147" s="87" t="n">
        <f aca="false">G26</f>
        <v>12207.9555232249</v>
      </c>
      <c r="I147" s="87" t="n">
        <f aca="false">H26</f>
        <v>14426.5062233965</v>
      </c>
    </row>
    <row r="148" customFormat="false" ht="15" hidden="false" customHeight="false" outlineLevel="0" collapsed="false">
      <c r="C148" s="48" t="s">
        <v>567</v>
      </c>
      <c r="D148" s="87" t="n">
        <f aca="false">Historico!I62</f>
        <v>9763</v>
      </c>
      <c r="E148" s="87" t="n">
        <f aca="false">D26</f>
        <v>5544.86686092</v>
      </c>
      <c r="F148" s="87" t="n">
        <f aca="false">E26</f>
        <v>7167.58115132688</v>
      </c>
      <c r="G148" s="87" t="n">
        <f aca="false">F26</f>
        <v>9930.74774919336</v>
      </c>
      <c r="H148" s="87" t="n">
        <f aca="false">G26</f>
        <v>12207.9555232249</v>
      </c>
      <c r="I148" s="87" t="n">
        <f aca="false">D89</f>
        <v>15372.1593149821</v>
      </c>
    </row>
    <row r="150" customFormat="false" ht="15" hidden="false" customHeight="false" outlineLevel="0" collapsed="false">
      <c r="C150" s="48" t="s">
        <v>174</v>
      </c>
      <c r="D150" s="48" t="s">
        <v>548</v>
      </c>
      <c r="E150" s="48" t="s">
        <v>568</v>
      </c>
    </row>
    <row r="151" customFormat="false" ht="15" hidden="false" customHeight="false" outlineLevel="0" collapsed="false">
      <c r="C151" s="0" t="s">
        <v>569</v>
      </c>
      <c r="D151" s="88" t="n">
        <f aca="false">E44</f>
        <v>0.0115175085148841</v>
      </c>
      <c r="E151" s="88" t="n">
        <f aca="false">$D$20</f>
        <v>0.025</v>
      </c>
    </row>
    <row r="152" customFormat="false" ht="15" hidden="false" customHeight="false" outlineLevel="0" collapsed="false">
      <c r="C152" s="0" t="s">
        <v>570</v>
      </c>
      <c r="D152" s="88" t="n">
        <f aca="false">D58</f>
        <v>0.030222721891789</v>
      </c>
      <c r="E152" s="88" t="n">
        <f aca="false">$D$20</f>
        <v>0.025</v>
      </c>
    </row>
    <row r="153" customFormat="false" ht="15" hidden="false" customHeight="false" outlineLevel="0" collapsed="false">
      <c r="C153" s="0" t="s">
        <v>571</v>
      </c>
      <c r="D153" s="88" t="n">
        <f aca="false">D115</f>
        <v>0.0950408420793971</v>
      </c>
      <c r="E153" s="88" t="n">
        <f aca="false">D116</f>
        <v>0.0812237471245858</v>
      </c>
    </row>
  </sheetData>
  <mergeCells count="18">
    <mergeCell ref="A1:R1"/>
    <mergeCell ref="A7:J7"/>
    <mergeCell ref="A37:J37"/>
    <mergeCell ref="G42:J42"/>
    <mergeCell ref="G43:J43"/>
    <mergeCell ref="G44:J44"/>
    <mergeCell ref="A51:J51"/>
    <mergeCell ref="A66:J66"/>
    <mergeCell ref="A84:J84"/>
    <mergeCell ref="A109:J109"/>
    <mergeCell ref="A120:J120"/>
    <mergeCell ref="G121:J121"/>
    <mergeCell ref="G122:J122"/>
    <mergeCell ref="G123:J123"/>
    <mergeCell ref="G124:J124"/>
    <mergeCell ref="G125:J125"/>
    <mergeCell ref="G126:J126"/>
    <mergeCell ref="A129:J1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80"/>
  </cols>
  <sheetData>
    <row r="1" customFormat="false" ht="24" hidden="false" customHeight="true" outlineLevel="0" collapsed="false">
      <c r="A1" s="1" t="s">
        <v>572</v>
      </c>
      <c r="B1" s="1"/>
      <c r="C1" s="1"/>
      <c r="D1" s="1"/>
      <c r="E1" s="1"/>
    </row>
    <row r="2" customFormat="false" ht="15" hidden="false" customHeight="false" outlineLevel="0" collapsed="false">
      <c r="B2" s="2" t="s">
        <v>1</v>
      </c>
      <c r="C2" s="3" t="s">
        <v>2</v>
      </c>
      <c r="D2" s="4" t="s">
        <v>3</v>
      </c>
      <c r="E2" s="5" t="s">
        <v>4</v>
      </c>
      <c r="F2" s="4" t="s">
        <v>5</v>
      </c>
      <c r="G2" s="6" t="s">
        <v>6</v>
      </c>
      <c r="H2" s="4" t="s">
        <v>7</v>
      </c>
      <c r="I2" s="7" t="s">
        <v>8</v>
      </c>
      <c r="J2" s="4" t="s">
        <v>9</v>
      </c>
      <c r="K2" s="8" t="s">
        <v>10</v>
      </c>
      <c r="L2" s="4" t="s">
        <v>11</v>
      </c>
    </row>
    <row r="4" customFormat="false" ht="18" hidden="false" customHeight="true" outlineLevel="0" collapsed="false">
      <c r="A4" s="9" t="s">
        <v>573</v>
      </c>
      <c r="B4" s="9"/>
      <c r="C4" s="9"/>
      <c r="D4" s="9"/>
      <c r="E4" s="9"/>
    </row>
    <row r="5" customFormat="false" ht="15" hidden="false" customHeight="false" outlineLevel="0" collapsed="false">
      <c r="B5" s="28" t="s">
        <v>574</v>
      </c>
      <c r="C5" s="28" t="s">
        <v>575</v>
      </c>
      <c r="D5" s="28" t="s">
        <v>576</v>
      </c>
    </row>
    <row r="6" customFormat="false" ht="15" hidden="false" customHeight="false" outlineLevel="0" collapsed="false">
      <c r="B6" s="2" t="s">
        <v>577</v>
      </c>
      <c r="C6" s="11" t="s">
        <v>578</v>
      </c>
      <c r="D6" s="63" t="s">
        <v>579</v>
      </c>
    </row>
    <row r="7" customFormat="false" ht="15" hidden="false" customHeight="false" outlineLevel="0" collapsed="false">
      <c r="B7" s="2" t="s">
        <v>580</v>
      </c>
      <c r="C7" s="11" t="s">
        <v>581</v>
      </c>
      <c r="D7" s="63" t="s">
        <v>582</v>
      </c>
    </row>
    <row r="8" customFormat="false" ht="15" hidden="false" customHeight="false" outlineLevel="0" collapsed="false">
      <c r="B8" s="2" t="s">
        <v>583</v>
      </c>
      <c r="C8" s="11" t="s">
        <v>584</v>
      </c>
      <c r="D8" s="63" t="s">
        <v>585</v>
      </c>
    </row>
    <row r="9" customFormat="false" ht="15" hidden="false" customHeight="false" outlineLevel="0" collapsed="false">
      <c r="B9" s="2" t="s">
        <v>586</v>
      </c>
      <c r="C9" s="11" t="s">
        <v>587</v>
      </c>
      <c r="D9" s="63" t="s">
        <v>588</v>
      </c>
    </row>
    <row r="10" customFormat="false" ht="15" hidden="false" customHeight="false" outlineLevel="0" collapsed="false">
      <c r="B10" s="2" t="s">
        <v>589</v>
      </c>
      <c r="C10" s="11" t="s">
        <v>590</v>
      </c>
      <c r="D10" s="63" t="s">
        <v>591</v>
      </c>
    </row>
    <row r="11" customFormat="false" ht="15" hidden="false" customHeight="false" outlineLevel="0" collapsed="false">
      <c r="B11" s="2" t="s">
        <v>592</v>
      </c>
      <c r="C11" s="11" t="s">
        <v>593</v>
      </c>
      <c r="D11" s="63" t="s">
        <v>594</v>
      </c>
    </row>
    <row r="12" customFormat="false" ht="15" hidden="false" customHeight="false" outlineLevel="0" collapsed="false">
      <c r="B12" s="2" t="s">
        <v>595</v>
      </c>
      <c r="C12" s="11" t="s">
        <v>596</v>
      </c>
      <c r="D12" s="63" t="s">
        <v>597</v>
      </c>
    </row>
    <row r="13" customFormat="false" ht="15" hidden="false" customHeight="false" outlineLevel="0" collapsed="false">
      <c r="B13" s="2" t="s">
        <v>598</v>
      </c>
      <c r="C13" s="11" t="s">
        <v>599</v>
      </c>
      <c r="D13" s="63" t="s">
        <v>600</v>
      </c>
    </row>
    <row r="14" customFormat="false" ht="15" hidden="false" customHeight="false" outlineLevel="0" collapsed="false">
      <c r="B14" s="2" t="s">
        <v>601</v>
      </c>
      <c r="C14" s="11" t="s">
        <v>602</v>
      </c>
      <c r="D14" s="63" t="s">
        <v>603</v>
      </c>
    </row>
    <row r="17" customFormat="false" ht="18" hidden="false" customHeight="true" outlineLevel="0" collapsed="false">
      <c r="A17" s="9" t="s">
        <v>604</v>
      </c>
      <c r="B17" s="9"/>
      <c r="C17" s="9"/>
      <c r="D17" s="9"/>
      <c r="E17" s="9"/>
    </row>
    <row r="18" customFormat="false" ht="15" hidden="false" customHeight="false" outlineLevel="0" collapsed="false">
      <c r="B18" s="28" t="s">
        <v>574</v>
      </c>
      <c r="C18" s="28" t="s">
        <v>605</v>
      </c>
      <c r="D18" s="28" t="s">
        <v>606</v>
      </c>
    </row>
    <row r="19" customFormat="false" ht="15" hidden="false" customHeight="false" outlineLevel="0" collapsed="false">
      <c r="B19" s="2" t="s">
        <v>607</v>
      </c>
      <c r="C19" s="11" t="s">
        <v>608</v>
      </c>
      <c r="D19" s="45" t="s">
        <v>609</v>
      </c>
    </row>
    <row r="20" customFormat="false" ht="15" hidden="false" customHeight="false" outlineLevel="0" collapsed="false">
      <c r="B20" s="2" t="s">
        <v>610</v>
      </c>
      <c r="C20" s="11" t="s">
        <v>611</v>
      </c>
      <c r="D20" s="45" t="s">
        <v>612</v>
      </c>
    </row>
    <row r="21" customFormat="false" ht="15" hidden="false" customHeight="false" outlineLevel="0" collapsed="false">
      <c r="B21" s="2" t="s">
        <v>613</v>
      </c>
      <c r="C21" s="11" t="s">
        <v>614</v>
      </c>
      <c r="D21" s="45" t="s">
        <v>615</v>
      </c>
    </row>
    <row r="22" customFormat="false" ht="15" hidden="false" customHeight="false" outlineLevel="0" collapsed="false">
      <c r="B22" s="2" t="s">
        <v>616</v>
      </c>
      <c r="C22" s="11" t="s">
        <v>617</v>
      </c>
      <c r="D22" s="45" t="s">
        <v>618</v>
      </c>
    </row>
    <row r="23" customFormat="false" ht="15" hidden="false" customHeight="false" outlineLevel="0" collapsed="false">
      <c r="B23" s="2" t="s">
        <v>619</v>
      </c>
      <c r="C23" s="11" t="s">
        <v>620</v>
      </c>
      <c r="D23" s="45" t="s">
        <v>621</v>
      </c>
    </row>
    <row r="24" customFormat="false" ht="15" hidden="false" customHeight="false" outlineLevel="0" collapsed="false">
      <c r="B24" s="2" t="s">
        <v>622</v>
      </c>
      <c r="C24" s="11" t="s">
        <v>623</v>
      </c>
      <c r="D24" s="45" t="s">
        <v>624</v>
      </c>
    </row>
    <row r="25" customFormat="false" ht="15" hidden="false" customHeight="false" outlineLevel="0" collapsed="false">
      <c r="B25" s="2" t="s">
        <v>625</v>
      </c>
      <c r="C25" s="11" t="s">
        <v>626</v>
      </c>
      <c r="D25" s="45" t="s">
        <v>627</v>
      </c>
    </row>
    <row r="26" customFormat="false" ht="15" hidden="false" customHeight="false" outlineLevel="0" collapsed="false">
      <c r="B26" s="2" t="s">
        <v>628</v>
      </c>
      <c r="C26" s="11" t="s">
        <v>629</v>
      </c>
      <c r="D26" s="45" t="s">
        <v>630</v>
      </c>
    </row>
    <row r="28" customFormat="false" ht="18" hidden="false" customHeight="true" outlineLevel="0" collapsed="false">
      <c r="A28" s="9" t="s">
        <v>631</v>
      </c>
      <c r="B28" s="9"/>
      <c r="C28" s="9"/>
      <c r="D28" s="9"/>
      <c r="E28" s="9"/>
    </row>
    <row r="30" customFormat="false" ht="15" hidden="false" customHeight="false" outlineLevel="0" collapsed="false">
      <c r="B30" s="2" t="s">
        <v>632</v>
      </c>
      <c r="C30" s="11" t="s">
        <v>633</v>
      </c>
    </row>
    <row r="31" customFormat="false" ht="15" hidden="false" customHeight="false" outlineLevel="0" collapsed="false">
      <c r="C31" s="63" t="s">
        <v>634</v>
      </c>
    </row>
    <row r="32" customFormat="false" ht="15" hidden="false" customHeight="false" outlineLevel="0" collapsed="false">
      <c r="B32" s="2" t="s">
        <v>635</v>
      </c>
      <c r="C32" s="11" t="s">
        <v>636</v>
      </c>
    </row>
    <row r="33" customFormat="false" ht="15" hidden="false" customHeight="false" outlineLevel="0" collapsed="false">
      <c r="C33" s="63" t="s">
        <v>637</v>
      </c>
    </row>
    <row r="34" customFormat="false" ht="15" hidden="false" customHeight="false" outlineLevel="0" collapsed="false">
      <c r="B34" s="2" t="s">
        <v>638</v>
      </c>
      <c r="C34" s="11" t="s">
        <v>639</v>
      </c>
    </row>
    <row r="35" customFormat="false" ht="15" hidden="false" customHeight="false" outlineLevel="0" collapsed="false">
      <c r="C35" s="63" t="s">
        <v>640</v>
      </c>
    </row>
    <row r="36" customFormat="false" ht="15" hidden="false" customHeight="false" outlineLevel="0" collapsed="false">
      <c r="B36" s="2" t="s">
        <v>641</v>
      </c>
      <c r="C36" s="11" t="s">
        <v>642</v>
      </c>
    </row>
    <row r="37" customFormat="false" ht="15" hidden="false" customHeight="false" outlineLevel="0" collapsed="false">
      <c r="C37" s="63" t="s">
        <v>643</v>
      </c>
    </row>
    <row r="38" customFormat="false" ht="15" hidden="false" customHeight="false" outlineLevel="0" collapsed="false">
      <c r="B38" s="2" t="s">
        <v>644</v>
      </c>
      <c r="C38" s="11" t="s">
        <v>645</v>
      </c>
    </row>
    <row r="39" customFormat="false" ht="15" hidden="false" customHeight="false" outlineLevel="0" collapsed="false">
      <c r="C39" s="63" t="s">
        <v>646</v>
      </c>
    </row>
    <row r="40" customFormat="false" ht="15" hidden="false" customHeight="false" outlineLevel="0" collapsed="false">
      <c r="B40" s="2" t="s">
        <v>647</v>
      </c>
      <c r="C40" s="11" t="s">
        <v>648</v>
      </c>
    </row>
    <row r="41" customFormat="false" ht="15" hidden="false" customHeight="false" outlineLevel="0" collapsed="false">
      <c r="C41" s="63" t="s">
        <v>649</v>
      </c>
    </row>
    <row r="42" customFormat="false" ht="15" hidden="false" customHeight="false" outlineLevel="0" collapsed="false">
      <c r="B42" s="2" t="s">
        <v>650</v>
      </c>
      <c r="C42" s="11" t="s">
        <v>651</v>
      </c>
    </row>
    <row r="43" customFormat="false" ht="15" hidden="false" customHeight="false" outlineLevel="0" collapsed="false">
      <c r="C43" s="63" t="s">
        <v>652</v>
      </c>
    </row>
    <row r="44" customFormat="false" ht="15" hidden="false" customHeight="false" outlineLevel="0" collapsed="false">
      <c r="B44" s="2" t="s">
        <v>653</v>
      </c>
      <c r="C44" s="11" t="s">
        <v>654</v>
      </c>
    </row>
    <row r="45" customFormat="false" ht="15" hidden="false" customHeight="false" outlineLevel="0" collapsed="false">
      <c r="C45" s="63" t="s">
        <v>655</v>
      </c>
    </row>
    <row r="46" customFormat="false" ht="15" hidden="false" customHeight="false" outlineLevel="0" collapsed="false">
      <c r="B46" s="2" t="s">
        <v>656</v>
      </c>
      <c r="C46" s="11" t="s">
        <v>657</v>
      </c>
    </row>
    <row r="47" customFormat="false" ht="15" hidden="false" customHeight="false" outlineLevel="0" collapsed="false">
      <c r="C47" s="63" t="s">
        <v>658</v>
      </c>
    </row>
    <row r="48" customFormat="false" ht="15" hidden="false" customHeight="false" outlineLevel="0" collapsed="false">
      <c r="B48" s="2" t="s">
        <v>659</v>
      </c>
      <c r="C48" s="11" t="s">
        <v>660</v>
      </c>
    </row>
    <row r="49" customFormat="false" ht="15" hidden="false" customHeight="false" outlineLevel="0" collapsed="false">
      <c r="C49" s="63" t="s">
        <v>661</v>
      </c>
    </row>
    <row r="50" customFormat="false" ht="15" hidden="false" customHeight="false" outlineLevel="0" collapsed="false">
      <c r="B50" s="2" t="s">
        <v>662</v>
      </c>
      <c r="C50" s="11" t="s">
        <v>663</v>
      </c>
    </row>
    <row r="51" customFormat="false" ht="15" hidden="false" customHeight="false" outlineLevel="0" collapsed="false">
      <c r="C51" s="63" t="s">
        <v>664</v>
      </c>
    </row>
    <row r="54" customFormat="false" ht="18" hidden="false" customHeight="true" outlineLevel="0" collapsed="false">
      <c r="A54" s="9" t="s">
        <v>665</v>
      </c>
      <c r="B54" s="9"/>
      <c r="C54" s="9"/>
      <c r="D54" s="9"/>
      <c r="E54" s="9"/>
    </row>
    <row r="56" customFormat="false" ht="15" hidden="false" customHeight="false" outlineLevel="0" collapsed="false">
      <c r="B56" s="44" t="s">
        <v>666</v>
      </c>
      <c r="C56" s="44"/>
      <c r="D56" s="44"/>
    </row>
    <row r="57" customFormat="false" ht="15" hidden="false" customHeight="false" outlineLevel="0" collapsed="false">
      <c r="B57" s="44" t="s">
        <v>667</v>
      </c>
      <c r="C57" s="44"/>
      <c r="D57" s="44"/>
    </row>
    <row r="58" customFormat="false" ht="15" hidden="false" customHeight="false" outlineLevel="0" collapsed="false">
      <c r="B58" s="44" t="s">
        <v>668</v>
      </c>
      <c r="C58" s="44"/>
      <c r="D58" s="44"/>
    </row>
    <row r="59" customFormat="false" ht="15" hidden="false" customHeight="false" outlineLevel="0" collapsed="false">
      <c r="B59" s="44" t="s">
        <v>669</v>
      </c>
      <c r="C59" s="44"/>
      <c r="D59" s="44"/>
    </row>
    <row r="60" customFormat="false" ht="15" hidden="false" customHeight="false" outlineLevel="0" collapsed="false">
      <c r="B60" s="44" t="s">
        <v>670</v>
      </c>
      <c r="C60" s="44"/>
      <c r="D60" s="44"/>
    </row>
    <row r="61" customFormat="false" ht="15" hidden="false" customHeight="false" outlineLevel="0" collapsed="false">
      <c r="B61" s="44" t="s">
        <v>671</v>
      </c>
      <c r="C61" s="44"/>
      <c r="D61" s="44"/>
    </row>
    <row r="62" customFormat="false" ht="15" hidden="false" customHeight="false" outlineLevel="0" collapsed="false">
      <c r="B62" s="44" t="s">
        <v>672</v>
      </c>
      <c r="C62" s="44"/>
      <c r="D62" s="44"/>
    </row>
    <row r="63" customFormat="false" ht="15" hidden="false" customHeight="false" outlineLevel="0" collapsed="false">
      <c r="B63" s="44" t="s">
        <v>673</v>
      </c>
      <c r="C63" s="44"/>
      <c r="D63" s="44"/>
    </row>
    <row r="64" customFormat="false" ht="15" hidden="false" customHeight="false" outlineLevel="0" collapsed="false">
      <c r="B64" s="44" t="s">
        <v>674</v>
      </c>
      <c r="C64" s="44"/>
      <c r="D64" s="44"/>
    </row>
    <row r="67" customFormat="false" ht="18" hidden="false" customHeight="true" outlineLevel="0" collapsed="false">
      <c r="A67" s="9" t="s">
        <v>675</v>
      </c>
      <c r="B67" s="9"/>
      <c r="C67" s="9"/>
      <c r="D67" s="9"/>
      <c r="E67" s="9"/>
    </row>
    <row r="69" customFormat="false" ht="15" hidden="false" customHeight="false" outlineLevel="0" collapsed="false">
      <c r="B69" s="39" t="s">
        <v>676</v>
      </c>
      <c r="C69" s="39"/>
      <c r="D69" s="39"/>
    </row>
    <row r="70" customFormat="false" ht="15" hidden="false" customHeight="false" outlineLevel="0" collapsed="false">
      <c r="B70" s="44" t="s">
        <v>677</v>
      </c>
      <c r="C70" s="44"/>
      <c r="D70" s="44"/>
    </row>
    <row r="71" customFormat="false" ht="15" hidden="false" customHeight="false" outlineLevel="0" collapsed="false">
      <c r="B71" s="44" t="s">
        <v>678</v>
      </c>
      <c r="C71" s="44"/>
      <c r="D71" s="44"/>
    </row>
    <row r="72" customFormat="false" ht="15" hidden="false" customHeight="false" outlineLevel="0" collapsed="false">
      <c r="B72" s="44" t="s">
        <v>679</v>
      </c>
      <c r="C72" s="44"/>
      <c r="D72" s="44"/>
    </row>
    <row r="73" customFormat="false" ht="15" hidden="false" customHeight="false" outlineLevel="0" collapsed="false">
      <c r="B73" s="44" t="s">
        <v>680</v>
      </c>
      <c r="C73" s="44"/>
      <c r="D73" s="44"/>
    </row>
  </sheetData>
  <mergeCells count="20">
    <mergeCell ref="A1:E1"/>
    <mergeCell ref="A4:E4"/>
    <mergeCell ref="A17:E17"/>
    <mergeCell ref="A28:E28"/>
    <mergeCell ref="A54:E54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A67:E67"/>
    <mergeCell ref="B69:D69"/>
    <mergeCell ref="B70:D70"/>
    <mergeCell ref="B71:D71"/>
    <mergeCell ref="B72:D72"/>
    <mergeCell ref="B73:D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2026-05-09T23:47:10Z</dcterms:created>
  <dc:creator>openpyxl</dc:creator>
  <dc:description/>
  <dc:language>en-US</dc:language>
  <cp:lastModifiedBy/>
  <dcterms:modified xsi:type="dcterms:W3CDTF">2026-05-09T23:47:17Z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